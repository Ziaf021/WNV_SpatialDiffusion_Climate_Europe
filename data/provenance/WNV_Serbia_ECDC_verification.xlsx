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 rows" sheetId="1" state="visible" r:id="rId3"/>
    <sheet name="Region summary" sheetId="2" state="visible" r:id="rId4"/>
    <sheet name="Sources and gap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<sst xmlns="http://schemas.openxmlformats.org/spreadsheetml/2006/main" count="657" uniqueCount="187">
  <si>
    <t xml:space="preserve">Year</t>
  </si>
  <si>
    <t xml:space="preserve">Source type</t>
  </si>
  <si>
    <t xml:space="preserve">Source file or page</t>
  </si>
  <si>
    <t xml:space="preserve">Region as ECDC prints it</t>
  </si>
  <si>
    <t xml:space="preserve">ECDC code (if given)</t>
  </si>
  <si>
    <t xml:space="preserve">Cases (human, total)</t>
  </si>
  <si>
    <t xml:space="preserve">Assigned NUTS_ID</t>
  </si>
  <si>
    <t xml:space="preserve">Region name in project file</t>
  </si>
  <si>
    <t xml:space="preserve">Checked</t>
  </si>
  <si>
    <t xml:space="preserve">Comment</t>
  </si>
  <si>
    <t xml:space="preserve">HTML table on ECDC page</t>
  </si>
  <si>
    <t xml:space="preserve">Table of cases 2012</t>
  </si>
  <si>
    <t xml:space="preserve">Grad Beograd</t>
  </si>
  <si>
    <t xml:space="preserve">RS110</t>
  </si>
  <si>
    <t xml:space="preserve">Београдска област</t>
  </si>
  <si>
    <t xml:space="preserve">Juzno-Banatski district</t>
  </si>
  <si>
    <t xml:space="preserve">RS122</t>
  </si>
  <si>
    <t xml:space="preserve">Јужнобанатска област</t>
  </si>
  <si>
    <t xml:space="preserve">Sremski district</t>
  </si>
  <si>
    <t xml:space="preserve">RS127</t>
  </si>
  <si>
    <t xml:space="preserve">Сремска област</t>
  </si>
  <si>
    <t xml:space="preserve">Sumadijski district</t>
  </si>
  <si>
    <t xml:space="preserve">RS218</t>
  </si>
  <si>
    <t xml:space="preserve">Шумадијска област</t>
  </si>
  <si>
    <t xml:space="preserve">Zapadno-Backi district</t>
  </si>
  <si>
    <t xml:space="preserve">RS121</t>
  </si>
  <si>
    <t xml:space="preserve">Западнобачка област</t>
  </si>
  <si>
    <t xml:space="preserve">Table of cases 2013</t>
  </si>
  <si>
    <t xml:space="preserve">Branicevski district</t>
  </si>
  <si>
    <t xml:space="preserve">RS222</t>
  </si>
  <si>
    <t xml:space="preserve">Браничевска област</t>
  </si>
  <si>
    <t xml:space="preserve">Jablanicki district</t>
  </si>
  <si>
    <t xml:space="preserve">RS224</t>
  </si>
  <si>
    <t xml:space="preserve">Јабланичка област</t>
  </si>
  <si>
    <t xml:space="preserve">Juzno-backi district</t>
  </si>
  <si>
    <t xml:space="preserve">RS123</t>
  </si>
  <si>
    <t xml:space="preserve">Јужнобачка област</t>
  </si>
  <si>
    <t xml:space="preserve">Juzno-banatski district</t>
  </si>
  <si>
    <t xml:space="preserve">Kolubarski district</t>
  </si>
  <si>
    <t xml:space="preserve">RS212</t>
  </si>
  <si>
    <t xml:space="preserve">Колубарска област</t>
  </si>
  <si>
    <t xml:space="preserve">Macvanski district</t>
  </si>
  <si>
    <t xml:space="preserve">RS213</t>
  </si>
  <si>
    <t xml:space="preserve">Мачванска област</t>
  </si>
  <si>
    <t xml:space="preserve">Moravicki district</t>
  </si>
  <si>
    <t xml:space="preserve">RS214</t>
  </si>
  <si>
    <t xml:space="preserve">Моравичка област</t>
  </si>
  <si>
    <t xml:space="preserve">Podunavski district</t>
  </si>
  <si>
    <t xml:space="preserve">RS227</t>
  </si>
  <si>
    <t xml:space="preserve">Подунавска област</t>
  </si>
  <si>
    <t xml:space="preserve">Pomoravski district</t>
  </si>
  <si>
    <t xml:space="preserve">RS215</t>
  </si>
  <si>
    <t xml:space="preserve">Поморавска област</t>
  </si>
  <si>
    <t xml:space="preserve">Rasinski district</t>
  </si>
  <si>
    <t xml:space="preserve">RS216</t>
  </si>
  <si>
    <t xml:space="preserve">Расинска област</t>
  </si>
  <si>
    <t xml:space="preserve">Severno-backi district</t>
  </si>
  <si>
    <t xml:space="preserve">RS125</t>
  </si>
  <si>
    <t xml:space="preserve">Севернобачка област</t>
  </si>
  <si>
    <t xml:space="preserve">Severno-banatski district</t>
  </si>
  <si>
    <t xml:space="preserve">RS124</t>
  </si>
  <si>
    <t xml:space="preserve">Севернобанатска област</t>
  </si>
  <si>
    <t xml:space="preserve">Srednje-banatski district</t>
  </si>
  <si>
    <t xml:space="preserve">RS126</t>
  </si>
  <si>
    <t xml:space="preserve">Средњобанатска област</t>
  </si>
  <si>
    <t xml:space="preserve">Šumadijski district</t>
  </si>
  <si>
    <t xml:space="preserve">Zapadno-backi district</t>
  </si>
  <si>
    <t xml:space="preserve">Zlatiborski district</t>
  </si>
  <si>
    <t xml:space="preserve">RS211</t>
  </si>
  <si>
    <t xml:space="preserve">Златиборска област</t>
  </si>
  <si>
    <t xml:space="preserve">Table of cases 2014</t>
  </si>
  <si>
    <t xml:space="preserve">Nisavski district</t>
  </si>
  <si>
    <t xml:space="preserve">RS225</t>
  </si>
  <si>
    <t xml:space="preserve">Нишавска област</t>
  </si>
  <si>
    <t xml:space="preserve">Raski district</t>
  </si>
  <si>
    <t xml:space="preserve">RS217</t>
  </si>
  <si>
    <t xml:space="preserve">Рашка област</t>
  </si>
  <si>
    <t xml:space="preserve">Table of cases 2015</t>
  </si>
  <si>
    <t xml:space="preserve">Pcinjski district</t>
  </si>
  <si>
    <t xml:space="preserve">RS228</t>
  </si>
  <si>
    <t xml:space="preserve">Пчињска област</t>
  </si>
  <si>
    <t xml:space="preserve">XLSX</t>
  </si>
  <si>
    <t xml:space="preserve">West-Nile-fever-historical-data-2016_0.xlsx</t>
  </si>
  <si>
    <t xml:space="preserve">Juzno-backi</t>
  </si>
  <si>
    <t xml:space="preserve">Juzno-banatski</t>
  </si>
  <si>
    <t xml:space="preserve">Macvanski</t>
  </si>
  <si>
    <t xml:space="preserve">Podunavski</t>
  </si>
  <si>
    <t xml:space="preserve">Srednje-banatski</t>
  </si>
  <si>
    <t xml:space="preserve">Sremski</t>
  </si>
  <si>
    <t xml:space="preserve">XLSX, sheet 1 (human)</t>
  </si>
  <si>
    <t xml:space="preserve">Table epi update 2017 WNF.xlsx</t>
  </si>
  <si>
    <t xml:space="preserve">RSG125373</t>
  </si>
  <si>
    <t xml:space="preserve">RSG125375</t>
  </si>
  <si>
    <t xml:space="preserve">RSG125376</t>
  </si>
  <si>
    <t xml:space="preserve">RSG125387</t>
  </si>
  <si>
    <t xml:space="preserve">Severno-backi</t>
  </si>
  <si>
    <t xml:space="preserve">RSG125392</t>
  </si>
  <si>
    <t xml:space="preserve">Zapadno-backi</t>
  </si>
  <si>
    <t xml:space="preserve">RSG125399</t>
  </si>
  <si>
    <t xml:space="preserve">End-of-the season update 2018_table.xlsx</t>
  </si>
  <si>
    <t xml:space="preserve">Borski</t>
  </si>
  <si>
    <t xml:space="preserve">RS221</t>
  </si>
  <si>
    <t xml:space="preserve">Борска област</t>
  </si>
  <si>
    <t xml:space="preserve">Branicevski</t>
  </si>
  <si>
    <t xml:space="preserve">Kolubarski</t>
  </si>
  <si>
    <t xml:space="preserve">Pomoravski</t>
  </si>
  <si>
    <t xml:space="preserve">Rasinski</t>
  </si>
  <si>
    <t xml:space="preserve">Raski</t>
  </si>
  <si>
    <t xml:space="preserve">Severno-banatski</t>
  </si>
  <si>
    <t xml:space="preserve">Sumadijski</t>
  </si>
  <si>
    <t xml:space="preserve">Zlatiborski</t>
  </si>
  <si>
    <t xml:space="preserve">WNV-end-of-seaon-update.xlsx</t>
  </si>
  <si>
    <t xml:space="preserve">XLSX, GAUL-coded</t>
  </si>
  <si>
    <t xml:space="preserve">WNV_June_to_Nov_2021_0.xlsx</t>
  </si>
  <si>
    <t xml:space="preserve">RSG125393</t>
  </si>
  <si>
    <t xml:space="preserve">RSG125394</t>
  </si>
  <si>
    <t xml:space="preserve">RSG125395</t>
  </si>
  <si>
    <t xml:space="preserve">Monthly report, Table 1</t>
  </si>
  <si>
    <t xml:space="preserve">wnv-2024.html (Download Table 1 .csv)</t>
  </si>
  <si>
    <t xml:space="preserve">RSG125372</t>
  </si>
  <si>
    <t xml:space="preserve">RSG125381</t>
  </si>
  <si>
    <t xml:space="preserve">RSG125388</t>
  </si>
  <si>
    <t xml:space="preserve">RSG125391</t>
  </si>
  <si>
    <t xml:space="preserve">RSG125396</t>
  </si>
  <si>
    <t xml:space="preserve">Total cases</t>
  </si>
  <si>
    <t xml:space="preserve">Rows to check</t>
  </si>
  <si>
    <t xml:space="preserve">Rows checked</t>
  </si>
  <si>
    <t xml:space="preserve">Fill only the yellow columns. Put any mark in 'Checked' once the row matches the ECDC source; use 'Comment' for a disagreement, giving the value you read. Everything else is transcribed from the source named in column C and should not be edited here.</t>
  </si>
  <si>
    <t xml:space="preserve">Example: 2013 | HTML table on ECDC page | Table of cases 2013 | Grad Beograd | | 171 | RS110 | Београдска област | x | agrees</t>
  </si>
  <si>
    <t xml:space="preserve">NUTS_ID</t>
  </si>
  <si>
    <t xml:space="preserve">Region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</si>
  <si>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</si>
  <si>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</si>
  <si>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</si>
  <si>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</si>
  <si>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</si>
  <si>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</si>
  <si>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</si>
  <si>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</si>
  <si>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2021</t>
  </si>
  <si>
    <t xml:space="preserve">2024</t>
  </si>
  <si>
    <t xml:space="preserve">Total</t>
  </si>
  <si>
    <t xml:space="preserve">First invasion year</t>
  </si>
  <si>
    <t xml:space="preserve">RS223</t>
  </si>
  <si>
    <t xml:space="preserve">Зајечарска област</t>
  </si>
  <si>
    <t xml:space="preserve">RS226</t>
  </si>
  <si>
    <t xml:space="preserve">Пиротска област</t>
  </si>
  <si>
    <t xml:space="preserve">RS229</t>
  </si>
  <si>
    <t xml:space="preserve">Топличка област</t>
  </si>
  <si>
    <t xml:space="preserve">Both columns are computed from 'Source rows', so a correction there flows through. First invasion year is the earliest season in which the region reported at least one human case.</t>
  </si>
  <si>
    <t xml:space="preserve">Season</t>
  </si>
  <si>
    <t xml:space="preserve">Status</t>
  </si>
  <si>
    <t xml:space="preserve">File or page</t>
  </si>
  <si>
    <t xml:space="preserve">URL</t>
  </si>
  <si>
    <t xml:space="preserve">Serbian regions</t>
  </si>
  <si>
    <t xml:space="preserve">Note</t>
  </si>
  <si>
    <t xml:space="preserve">checked, Serbia absent</t>
  </si>
  <si>
    <t xml:space="preserve">Table of cases 2011</t>
  </si>
  <si>
    <t xml:space="preserve">https://www.ecdc.europa.eu/en/publications-data/table-transmission-west-nile-fever-may-november-2011-table-cases-2011</t>
  </si>
  <si>
    <t xml:space="preserve">Serbia does not appear; Albania (Lezhe) and North Macedonia (Skopje) do. Absence claim, worth your own look.</t>
  </si>
  <si>
    <t xml:space="preserve">transcribed</t>
  </si>
  <si>
    <t xml:space="preserve">https://www.ecdc.europa.eu/en/publications-data/table-transmission-west-nile-fever-may-november-2012-table-cases-2012</t>
  </si>
  <si>
    <t xml:space="preserve">One further Serbian case has area 'N/A' and was not assigned to any region.</t>
  </si>
  <si>
    <t xml:space="preserve">https://www.ecdc.europa.eu/en/publications-data/table-transmission-west-nile-fever-may-november-2013-table-cases-2013</t>
  </si>
  <si>
    <t xml:space="preserve">Largest season; also lists Bosnia and Herzegovina and Montenegro.</t>
  </si>
  <si>
    <t xml:space="preserve">https://www.ecdc.europa.eu/en/publications-data/table-transmission-west-nile-fever-may-november-2014-table-cases-2014</t>
  </si>
  <si>
    <t xml:space="preserve">https://www.ecdc.europa.eu/en/publications-data/table-transmission-west-nile-fever-may-november-2015-table-cases-2015</t>
  </si>
  <si>
    <t xml:space="preserve">https://www.ecdc.europa.eu/en/sites/default/files/documents/West-Nile-fever-historical-data-2016_0.xlsx</t>
  </si>
  <si>
    <t xml:space="preserve">https://www.ecdc.europa.eu/en/sites/default/files/documents/Table%20epi%20update%202017%20WNF.xlsx</t>
  </si>
  <si>
    <t xml:space="preserve">Human cases are on sheet 1; sheet 2 is equine. The page text mentions only equine.</t>
  </si>
  <si>
    <t xml:space="preserve">https://www.ecdc.europa.eu/en/sites/default/files/documents/End-of-the%20season%20update%202018_table.xlsx</t>
  </si>
  <si>
    <t xml:space="preserve">Kosovo (Kosovski, 14 cases) also appears and is not yet in the assembled file.</t>
  </si>
  <si>
    <t xml:space="preserve">https://www.ecdc.europa.eu/en/sites/default/files/documents/WNV-end-of-seaon-update.xlsx</t>
  </si>
  <si>
    <t xml:space="preserve">North Macedonia (Jugozapaden, Skopski) also appears.</t>
  </si>
  <si>
    <t xml:space="preserve">checked, no Serbian section</t>
  </si>
  <si>
    <t xml:space="preserve">west-nile-virus-july-to december-2020-transmission-season.xlsx</t>
  </si>
  <si>
    <t xml:space="preserve">https://www.ecdc.europa.eu/en/sites/default/files/documents/west-nile-virus-july-to%20december-2020-transmission-season.xlsx</t>
  </si>
  <si>
    <t xml:space="preserve">Absence claim, worth your own look.</t>
  </si>
  <si>
    <t xml:space="preserve">https://www.ecdc.europa.eu/en/sites/default/files/documents/WNV_June_to_Nov_2021_0.xlsx</t>
  </si>
  <si>
    <t xml:space="preserve">Regions carry GAUL codes; names agree with the codes.</t>
  </si>
  <si>
    <t xml:space="preserve">no tabular source located</t>
  </si>
  <si>
    <t xml:space="preserve">Publication page carries a map image only.</t>
  </si>
  <si>
    <t xml:space="preserve">https://wnv-monthly.ecdc.europa.eu/archive/wnv-2024.html</t>
  </si>
  <si>
    <t xml:space="preserve">Kosovo, North Macedonia, Albania and Türkiye also reported at region level.</t>
  </si>
  <si>
    <t xml:space="preserve">Index of all seasons: https://www.ecdc.europa.eu/en/west-nile-fever/surveillance-and-disease-data/historical</t>
  </si>
  <si>
    <t xml:space="preserve">Column checked in every source: 'Number of human cases' (total reported), not the confirmed-only column, matching the convention of the counts already in WNV_NUTS3cases_2006to2025.csv.</t>
  </si>
  <si>
    <t xml:space="preserve">Nothing subnational exists before 2011. Serbian regions therefore enter the at-risk set at 2012 by delayed entry.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</si>
</sst>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3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2012</v>
      </c>
      <c r="B2" s="2" t="s">
        <v>10</v>
      </c>
      <c r="C2" s="2" t="s">
        <v>11</v>
      </c>
      <c r="D2" s="2" t="s">
        <v>12</v>
      </c>
      <c r="E2" s="2"/>
      <c r="F2" s="2" t="n">
        <v>50</v>
      </c>
      <c r="G2" s="2" t="s">
        <v>13</v>
      </c>
      <c r="H2" s="2" t="s">
        <v>14</v>
      </c>
      <c r="I2" s="3"/>
      <c r="J2" s="3"/>
    </row>
    <row r="3" customFormat="false" ht="15" hidden="false" customHeight="false" outlineLevel="0" collapsed="false">
      <c r="A3" s="2" t="n">
        <v>2012</v>
      </c>
      <c r="B3" s="2" t="s">
        <v>10</v>
      </c>
      <c r="C3" s="2" t="s">
        <v>11</v>
      </c>
      <c r="D3" s="2" t="s">
        <v>15</v>
      </c>
      <c r="E3" s="2"/>
      <c r="F3" s="2" t="n">
        <v>10</v>
      </c>
      <c r="G3" s="2" t="s">
        <v>16</v>
      </c>
      <c r="H3" s="2" t="s">
        <v>17</v>
      </c>
      <c r="I3" s="3"/>
      <c r="J3" s="3"/>
    </row>
    <row r="4" customFormat="false" ht="15" hidden="false" customHeight="false" outlineLevel="0" collapsed="false">
      <c r="A4" s="2" t="n">
        <v>2012</v>
      </c>
      <c r="B4" s="2" t="s">
        <v>10</v>
      </c>
      <c r="C4" s="2" t="s">
        <v>11</v>
      </c>
      <c r="D4" s="2" t="s">
        <v>18</v>
      </c>
      <c r="E4" s="2"/>
      <c r="F4" s="2" t="n">
        <v>6</v>
      </c>
      <c r="G4" s="2" t="s">
        <v>19</v>
      </c>
      <c r="H4" s="2" t="s">
        <v>20</v>
      </c>
      <c r="I4" s="3"/>
      <c r="J4" s="3"/>
    </row>
    <row r="5" customFormat="false" ht="15" hidden="false" customHeight="false" outlineLevel="0" collapsed="false">
      <c r="A5" s="2" t="n">
        <v>2012</v>
      </c>
      <c r="B5" s="2" t="s">
        <v>10</v>
      </c>
      <c r="C5" s="2" t="s">
        <v>11</v>
      </c>
      <c r="D5" s="2" t="s">
        <v>21</v>
      </c>
      <c r="E5" s="2"/>
      <c r="F5" s="2" t="n">
        <v>1</v>
      </c>
      <c r="G5" s="2" t="s">
        <v>22</v>
      </c>
      <c r="H5" s="2" t="s">
        <v>23</v>
      </c>
      <c r="I5" s="3"/>
      <c r="J5" s="3"/>
    </row>
    <row r="6" customFormat="false" ht="15" hidden="false" customHeight="false" outlineLevel="0" collapsed="false">
      <c r="A6" s="2" t="n">
        <v>2012</v>
      </c>
      <c r="B6" s="2" t="s">
        <v>10</v>
      </c>
      <c r="C6" s="2" t="s">
        <v>11</v>
      </c>
      <c r="D6" s="2" t="s">
        <v>24</v>
      </c>
      <c r="E6" s="2"/>
      <c r="F6" s="2" t="n">
        <v>1</v>
      </c>
      <c r="G6" s="2" t="s">
        <v>25</v>
      </c>
      <c r="H6" s="2" t="s">
        <v>26</v>
      </c>
      <c r="I6" s="3"/>
      <c r="J6" s="3"/>
    </row>
    <row r="7" customFormat="false" ht="15" hidden="false" customHeight="false" outlineLevel="0" collapsed="false">
      <c r="A7" s="2" t="n">
        <v>2013</v>
      </c>
      <c r="B7" s="2" t="s">
        <v>10</v>
      </c>
      <c r="C7" s="2" t="s">
        <v>27</v>
      </c>
      <c r="D7" s="2" t="s">
        <v>28</v>
      </c>
      <c r="E7" s="2"/>
      <c r="F7" s="2" t="n">
        <v>3</v>
      </c>
      <c r="G7" s="2" t="s">
        <v>29</v>
      </c>
      <c r="H7" s="2" t="s">
        <v>30</v>
      </c>
      <c r="I7" s="3"/>
      <c r="J7" s="3"/>
    </row>
    <row r="8" customFormat="false" ht="15" hidden="false" customHeight="false" outlineLevel="0" collapsed="false">
      <c r="A8" s="2" t="n">
        <v>2013</v>
      </c>
      <c r="B8" s="2" t="s">
        <v>10</v>
      </c>
      <c r="C8" s="2" t="s">
        <v>27</v>
      </c>
      <c r="D8" s="2" t="s">
        <v>12</v>
      </c>
      <c r="E8" s="2"/>
      <c r="F8" s="2" t="n">
        <v>171</v>
      </c>
      <c r="G8" s="2" t="s">
        <v>13</v>
      </c>
      <c r="H8" s="2" t="s">
        <v>14</v>
      </c>
      <c r="I8" s="3"/>
      <c r="J8" s="3"/>
    </row>
    <row r="9" customFormat="false" ht="15" hidden="false" customHeight="false" outlineLevel="0" collapsed="false">
      <c r="A9" s="2" t="n">
        <v>2013</v>
      </c>
      <c r="B9" s="2" t="s">
        <v>10</v>
      </c>
      <c r="C9" s="2" t="s">
        <v>27</v>
      </c>
      <c r="D9" s="2" t="s">
        <v>31</v>
      </c>
      <c r="E9" s="2"/>
      <c r="F9" s="2" t="n">
        <v>1</v>
      </c>
      <c r="G9" s="2" t="s">
        <v>32</v>
      </c>
      <c r="H9" s="2" t="s">
        <v>33</v>
      </c>
      <c r="I9" s="3"/>
      <c r="J9" s="3"/>
    </row>
    <row r="10" customFormat="false" ht="15" hidden="false" customHeight="false" outlineLevel="0" collapsed="false">
      <c r="A10" s="2" t="n">
        <v>2013</v>
      </c>
      <c r="B10" s="2" t="s">
        <v>10</v>
      </c>
      <c r="C10" s="2" t="s">
        <v>27</v>
      </c>
      <c r="D10" s="2" t="s">
        <v>34</v>
      </c>
      <c r="E10" s="2"/>
      <c r="F10" s="2" t="n">
        <v>20</v>
      </c>
      <c r="G10" s="2" t="s">
        <v>35</v>
      </c>
      <c r="H10" s="2" t="s">
        <v>36</v>
      </c>
      <c r="I10" s="3"/>
      <c r="J10" s="3"/>
    </row>
    <row r="11" customFormat="false" ht="15" hidden="false" customHeight="false" outlineLevel="0" collapsed="false">
      <c r="A11" s="2" t="n">
        <v>2013</v>
      </c>
      <c r="B11" s="2" t="s">
        <v>10</v>
      </c>
      <c r="C11" s="2" t="s">
        <v>27</v>
      </c>
      <c r="D11" s="2" t="s">
        <v>37</v>
      </c>
      <c r="E11" s="2"/>
      <c r="F11" s="2" t="n">
        <v>48</v>
      </c>
      <c r="G11" s="2" t="s">
        <v>16</v>
      </c>
      <c r="H11" s="2" t="s">
        <v>17</v>
      </c>
      <c r="I11" s="3"/>
      <c r="J11" s="3"/>
    </row>
    <row r="12" customFormat="false" ht="15" hidden="false" customHeight="false" outlineLevel="0" collapsed="false">
      <c r="A12" s="2" t="n">
        <v>2013</v>
      </c>
      <c r="B12" s="2" t="s">
        <v>10</v>
      </c>
      <c r="C12" s="2" t="s">
        <v>27</v>
      </c>
      <c r="D12" s="2" t="s">
        <v>38</v>
      </c>
      <c r="E12" s="2"/>
      <c r="F12" s="2" t="n">
        <v>10</v>
      </c>
      <c r="G12" s="2" t="s">
        <v>39</v>
      </c>
      <c r="H12" s="2" t="s">
        <v>40</v>
      </c>
      <c r="I12" s="3"/>
      <c r="J12" s="3"/>
    </row>
    <row r="13" customFormat="false" ht="15" hidden="false" customHeight="false" outlineLevel="0" collapsed="false">
      <c r="A13" s="2" t="n">
        <v>2013</v>
      </c>
      <c r="B13" s="2" t="s">
        <v>10</v>
      </c>
      <c r="C13" s="2" t="s">
        <v>27</v>
      </c>
      <c r="D13" s="2" t="s">
        <v>41</v>
      </c>
      <c r="E13" s="2"/>
      <c r="F13" s="2" t="n">
        <v>6</v>
      </c>
      <c r="G13" s="2" t="s">
        <v>42</v>
      </c>
      <c r="H13" s="2" t="s">
        <v>43</v>
      </c>
      <c r="I13" s="3"/>
      <c r="J13" s="3"/>
    </row>
    <row r="14" customFormat="false" ht="15" hidden="false" customHeight="false" outlineLevel="0" collapsed="false">
      <c r="A14" s="2" t="n">
        <v>2013</v>
      </c>
      <c r="B14" s="2" t="s">
        <v>10</v>
      </c>
      <c r="C14" s="2" t="s">
        <v>27</v>
      </c>
      <c r="D14" s="2" t="s">
        <v>44</v>
      </c>
      <c r="E14" s="2"/>
      <c r="F14" s="2" t="n">
        <v>2</v>
      </c>
      <c r="G14" s="2" t="s">
        <v>45</v>
      </c>
      <c r="H14" s="2" t="s">
        <v>46</v>
      </c>
      <c r="I14" s="3"/>
      <c r="J14" s="3"/>
    </row>
    <row r="15" customFormat="false" ht="15" hidden="false" customHeight="false" outlineLevel="0" collapsed="false">
      <c r="A15" s="2" t="n">
        <v>2013</v>
      </c>
      <c r="B15" s="2" t="s">
        <v>10</v>
      </c>
      <c r="C15" s="2" t="s">
        <v>27</v>
      </c>
      <c r="D15" s="2" t="s">
        <v>47</v>
      </c>
      <c r="E15" s="2"/>
      <c r="F15" s="2" t="n">
        <v>15</v>
      </c>
      <c r="G15" s="2" t="s">
        <v>48</v>
      </c>
      <c r="H15" s="2" t="s">
        <v>49</v>
      </c>
      <c r="I15" s="3"/>
      <c r="J15" s="3"/>
    </row>
    <row r="16" customFormat="false" ht="15" hidden="false" customHeight="false" outlineLevel="0" collapsed="false">
      <c r="A16" s="2" t="n">
        <v>2013</v>
      </c>
      <c r="B16" s="2" t="s">
        <v>10</v>
      </c>
      <c r="C16" s="2" t="s">
        <v>27</v>
      </c>
      <c r="D16" s="2" t="s">
        <v>50</v>
      </c>
      <c r="E16" s="2"/>
      <c r="F16" s="2" t="n">
        <v>1</v>
      </c>
      <c r="G16" s="2" t="s">
        <v>51</v>
      </c>
      <c r="H16" s="2" t="s">
        <v>52</v>
      </c>
      <c r="I16" s="3"/>
      <c r="J16" s="3"/>
    </row>
    <row r="17" customFormat="false" ht="15" hidden="false" customHeight="false" outlineLevel="0" collapsed="false">
      <c r="A17" s="2" t="n">
        <v>2013</v>
      </c>
      <c r="B17" s="2" t="s">
        <v>10</v>
      </c>
      <c r="C17" s="2" t="s">
        <v>27</v>
      </c>
      <c r="D17" s="2" t="s">
        <v>53</v>
      </c>
      <c r="E17" s="2"/>
      <c r="F17" s="2" t="n">
        <v>1</v>
      </c>
      <c r="G17" s="2" t="s">
        <v>54</v>
      </c>
      <c r="H17" s="2" t="s">
        <v>55</v>
      </c>
      <c r="I17" s="3"/>
      <c r="J17" s="3"/>
    </row>
    <row r="18" customFormat="false" ht="15" hidden="false" customHeight="false" outlineLevel="0" collapsed="false">
      <c r="A18" s="2" t="n">
        <v>2013</v>
      </c>
      <c r="B18" s="2" t="s">
        <v>10</v>
      </c>
      <c r="C18" s="2" t="s">
        <v>27</v>
      </c>
      <c r="D18" s="2" t="s">
        <v>56</v>
      </c>
      <c r="E18" s="2"/>
      <c r="F18" s="2" t="n">
        <v>3</v>
      </c>
      <c r="G18" s="2" t="s">
        <v>57</v>
      </c>
      <c r="H18" s="2" t="s">
        <v>58</v>
      </c>
      <c r="I18" s="3"/>
      <c r="J18" s="3"/>
    </row>
    <row r="19" customFormat="false" ht="15" hidden="false" customHeight="false" outlineLevel="0" collapsed="false">
      <c r="A19" s="2" t="n">
        <v>2013</v>
      </c>
      <c r="B19" s="2" t="s">
        <v>10</v>
      </c>
      <c r="C19" s="2" t="s">
        <v>27</v>
      </c>
      <c r="D19" s="2" t="s">
        <v>59</v>
      </c>
      <c r="E19" s="2"/>
      <c r="F19" s="2" t="n">
        <v>1</v>
      </c>
      <c r="G19" s="2" t="s">
        <v>60</v>
      </c>
      <c r="H19" s="2" t="s">
        <v>61</v>
      </c>
      <c r="I19" s="3"/>
      <c r="J19" s="3"/>
    </row>
    <row r="20" customFormat="false" ht="15" hidden="false" customHeight="false" outlineLevel="0" collapsed="false">
      <c r="A20" s="2" t="n">
        <v>2013</v>
      </c>
      <c r="B20" s="2" t="s">
        <v>10</v>
      </c>
      <c r="C20" s="2" t="s">
        <v>27</v>
      </c>
      <c r="D20" s="2" t="s">
        <v>62</v>
      </c>
      <c r="E20" s="2"/>
      <c r="F20" s="2" t="n">
        <v>6</v>
      </c>
      <c r="G20" s="2" t="s">
        <v>63</v>
      </c>
      <c r="H20" s="2" t="s">
        <v>64</v>
      </c>
      <c r="I20" s="3"/>
      <c r="J20" s="3"/>
    </row>
    <row r="21" customFormat="false" ht="15" hidden="false" customHeight="false" outlineLevel="0" collapsed="false">
      <c r="A21" s="2" t="n">
        <v>2013</v>
      </c>
      <c r="B21" s="2" t="s">
        <v>10</v>
      </c>
      <c r="C21" s="2" t="s">
        <v>27</v>
      </c>
      <c r="D21" s="2" t="s">
        <v>18</v>
      </c>
      <c r="E21" s="2"/>
      <c r="F21" s="2" t="n">
        <v>11</v>
      </c>
      <c r="G21" s="2" t="s">
        <v>19</v>
      </c>
      <c r="H21" s="2" t="s">
        <v>20</v>
      </c>
      <c r="I21" s="3"/>
      <c r="J21" s="3"/>
    </row>
    <row r="22" customFormat="false" ht="15" hidden="false" customHeight="false" outlineLevel="0" collapsed="false">
      <c r="A22" s="2" t="n">
        <v>2013</v>
      </c>
      <c r="B22" s="2" t="s">
        <v>10</v>
      </c>
      <c r="C22" s="2" t="s">
        <v>27</v>
      </c>
      <c r="D22" s="2" t="s">
        <v>65</v>
      </c>
      <c r="E22" s="2"/>
      <c r="F22" s="2" t="n">
        <v>1</v>
      </c>
      <c r="G22" s="2" t="s">
        <v>22</v>
      </c>
      <c r="H22" s="2" t="s">
        <v>23</v>
      </c>
      <c r="I22" s="3"/>
      <c r="J22" s="3"/>
    </row>
    <row r="23" customFormat="false" ht="15" hidden="false" customHeight="false" outlineLevel="0" collapsed="false">
      <c r="A23" s="2" t="n">
        <v>2013</v>
      </c>
      <c r="B23" s="2" t="s">
        <v>10</v>
      </c>
      <c r="C23" s="2" t="s">
        <v>27</v>
      </c>
      <c r="D23" s="2" t="s">
        <v>66</v>
      </c>
      <c r="E23" s="2"/>
      <c r="F23" s="2" t="n">
        <v>1</v>
      </c>
      <c r="G23" s="2" t="s">
        <v>25</v>
      </c>
      <c r="H23" s="2" t="s">
        <v>26</v>
      </c>
      <c r="I23" s="3"/>
      <c r="J23" s="3"/>
    </row>
    <row r="24" customFormat="false" ht="15" hidden="false" customHeight="false" outlineLevel="0" collapsed="false">
      <c r="A24" s="2" t="n">
        <v>2013</v>
      </c>
      <c r="B24" s="2" t="s">
        <v>10</v>
      </c>
      <c r="C24" s="2" t="s">
        <v>27</v>
      </c>
      <c r="D24" s="2" t="s">
        <v>67</v>
      </c>
      <c r="E24" s="2"/>
      <c r="F24" s="2" t="n">
        <v>1</v>
      </c>
      <c r="G24" s="2" t="s">
        <v>68</v>
      </c>
      <c r="H24" s="2" t="s">
        <v>69</v>
      </c>
      <c r="I24" s="3"/>
      <c r="J24" s="3"/>
    </row>
    <row r="25" customFormat="false" ht="15" hidden="false" customHeight="false" outlineLevel="0" collapsed="false">
      <c r="A25" s="2" t="n">
        <v>2014</v>
      </c>
      <c r="B25" s="2" t="s">
        <v>10</v>
      </c>
      <c r="C25" s="2" t="s">
        <v>70</v>
      </c>
      <c r="D25" s="2" t="s">
        <v>12</v>
      </c>
      <c r="E25" s="2"/>
      <c r="F25" s="2" t="n">
        <v>35</v>
      </c>
      <c r="G25" s="2" t="s">
        <v>13</v>
      </c>
      <c r="H25" s="2" t="s">
        <v>14</v>
      </c>
      <c r="I25" s="3"/>
      <c r="J25" s="3"/>
    </row>
    <row r="26" customFormat="false" ht="15" hidden="false" customHeight="false" outlineLevel="0" collapsed="false">
      <c r="A26" s="2" t="n">
        <v>2014</v>
      </c>
      <c r="B26" s="2" t="s">
        <v>10</v>
      </c>
      <c r="C26" s="2" t="s">
        <v>70</v>
      </c>
      <c r="D26" s="2" t="s">
        <v>34</v>
      </c>
      <c r="E26" s="2"/>
      <c r="F26" s="2" t="n">
        <v>5</v>
      </c>
      <c r="G26" s="2" t="s">
        <v>35</v>
      </c>
      <c r="H26" s="2" t="s">
        <v>36</v>
      </c>
      <c r="I26" s="3"/>
      <c r="J26" s="3"/>
    </row>
    <row r="27" customFormat="false" ht="15" hidden="false" customHeight="false" outlineLevel="0" collapsed="false">
      <c r="A27" s="2" t="n">
        <v>2014</v>
      </c>
      <c r="B27" s="2" t="s">
        <v>10</v>
      </c>
      <c r="C27" s="2" t="s">
        <v>70</v>
      </c>
      <c r="D27" s="2" t="s">
        <v>37</v>
      </c>
      <c r="E27" s="2"/>
      <c r="F27" s="2" t="n">
        <v>19</v>
      </c>
      <c r="G27" s="2" t="s">
        <v>16</v>
      </c>
      <c r="H27" s="2" t="s">
        <v>17</v>
      </c>
      <c r="I27" s="3"/>
      <c r="J27" s="3"/>
    </row>
    <row r="28" customFormat="false" ht="15" hidden="false" customHeight="false" outlineLevel="0" collapsed="false">
      <c r="A28" s="2" t="n">
        <v>2014</v>
      </c>
      <c r="B28" s="2" t="s">
        <v>10</v>
      </c>
      <c r="C28" s="2" t="s">
        <v>70</v>
      </c>
      <c r="D28" s="2" t="s">
        <v>38</v>
      </c>
      <c r="E28" s="2"/>
      <c r="F28" s="2" t="n">
        <v>4</v>
      </c>
      <c r="G28" s="2" t="s">
        <v>39</v>
      </c>
      <c r="H28" s="2" t="s">
        <v>40</v>
      </c>
      <c r="I28" s="3"/>
      <c r="J28" s="3"/>
    </row>
    <row r="29" customFormat="false" ht="15" hidden="false" customHeight="false" outlineLevel="0" collapsed="false">
      <c r="A29" s="2" t="n">
        <v>2014</v>
      </c>
      <c r="B29" s="2" t="s">
        <v>10</v>
      </c>
      <c r="C29" s="2" t="s">
        <v>70</v>
      </c>
      <c r="D29" s="2" t="s">
        <v>71</v>
      </c>
      <c r="E29" s="2"/>
      <c r="F29" s="2" t="n">
        <v>1</v>
      </c>
      <c r="G29" s="2" t="s">
        <v>72</v>
      </c>
      <c r="H29" s="2" t="s">
        <v>73</v>
      </c>
      <c r="I29" s="3"/>
      <c r="J29" s="3"/>
    </row>
    <row r="30" customFormat="false" ht="15" hidden="false" customHeight="false" outlineLevel="0" collapsed="false">
      <c r="A30" s="2" t="n">
        <v>2014</v>
      </c>
      <c r="B30" s="2" t="s">
        <v>10</v>
      </c>
      <c r="C30" s="2" t="s">
        <v>70</v>
      </c>
      <c r="D30" s="2" t="s">
        <v>47</v>
      </c>
      <c r="E30" s="2"/>
      <c r="F30" s="2" t="n">
        <v>4</v>
      </c>
      <c r="G30" s="2" t="s">
        <v>48</v>
      </c>
      <c r="H30" s="2" t="s">
        <v>49</v>
      </c>
      <c r="I30" s="3"/>
      <c r="J30" s="3"/>
    </row>
    <row r="31" customFormat="false" ht="15" hidden="false" customHeight="false" outlineLevel="0" collapsed="false">
      <c r="A31" s="2" t="n">
        <v>2014</v>
      </c>
      <c r="B31" s="2" t="s">
        <v>10</v>
      </c>
      <c r="C31" s="2" t="s">
        <v>70</v>
      </c>
      <c r="D31" s="2" t="s">
        <v>74</v>
      </c>
      <c r="E31" s="2"/>
      <c r="F31" s="2" t="n">
        <v>1</v>
      </c>
      <c r="G31" s="2" t="s">
        <v>75</v>
      </c>
      <c r="H31" s="2" t="s">
        <v>76</v>
      </c>
      <c r="I31" s="3"/>
      <c r="J31" s="3"/>
    </row>
    <row r="32" customFormat="false" ht="15" hidden="false" customHeight="false" outlineLevel="0" collapsed="false">
      <c r="A32" s="2" t="n">
        <v>2014</v>
      </c>
      <c r="B32" s="2" t="s">
        <v>10</v>
      </c>
      <c r="C32" s="2" t="s">
        <v>70</v>
      </c>
      <c r="D32" s="2" t="s">
        <v>18</v>
      </c>
      <c r="E32" s="2"/>
      <c r="F32" s="2" t="n">
        <v>6</v>
      </c>
      <c r="G32" s="2" t="s">
        <v>19</v>
      </c>
      <c r="H32" s="2" t="s">
        <v>20</v>
      </c>
      <c r="I32" s="3"/>
      <c r="J32" s="3"/>
    </row>
    <row r="33" customFormat="false" ht="15" hidden="false" customHeight="false" outlineLevel="0" collapsed="false">
      <c r="A33" s="2" t="n">
        <v>2014</v>
      </c>
      <c r="B33" s="2" t="s">
        <v>10</v>
      </c>
      <c r="C33" s="2" t="s">
        <v>70</v>
      </c>
      <c r="D33" s="2" t="s">
        <v>21</v>
      </c>
      <c r="E33" s="2"/>
      <c r="F33" s="2" t="n">
        <v>1</v>
      </c>
      <c r="G33" s="2" t="s">
        <v>22</v>
      </c>
      <c r="H33" s="2" t="s">
        <v>23</v>
      </c>
      <c r="I33" s="3"/>
      <c r="J33" s="3"/>
    </row>
    <row r="34" customFormat="false" ht="15" hidden="false" customHeight="false" outlineLevel="0" collapsed="false">
      <c r="A34" s="2" t="n">
        <v>2015</v>
      </c>
      <c r="B34" s="2" t="s">
        <v>10</v>
      </c>
      <c r="C34" s="2" t="s">
        <v>77</v>
      </c>
      <c r="D34" s="2" t="s">
        <v>12</v>
      </c>
      <c r="E34" s="2"/>
      <c r="F34" s="2" t="n">
        <v>15</v>
      </c>
      <c r="G34" s="2" t="s">
        <v>13</v>
      </c>
      <c r="H34" s="2" t="s">
        <v>14</v>
      </c>
      <c r="I34" s="3"/>
      <c r="J34" s="3"/>
    </row>
    <row r="35" customFormat="false" ht="15" hidden="false" customHeight="false" outlineLevel="0" collapsed="false">
      <c r="A35" s="2" t="n">
        <v>2015</v>
      </c>
      <c r="B35" s="2" t="s">
        <v>10</v>
      </c>
      <c r="C35" s="2" t="s">
        <v>77</v>
      </c>
      <c r="D35" s="2" t="s">
        <v>34</v>
      </c>
      <c r="E35" s="2"/>
      <c r="F35" s="2" t="n">
        <v>2</v>
      </c>
      <c r="G35" s="2" t="s">
        <v>35</v>
      </c>
      <c r="H35" s="2" t="s">
        <v>36</v>
      </c>
      <c r="I35" s="3"/>
      <c r="J35" s="3"/>
    </row>
    <row r="36" customFormat="false" ht="15" hidden="false" customHeight="false" outlineLevel="0" collapsed="false">
      <c r="A36" s="2" t="n">
        <v>2015</v>
      </c>
      <c r="B36" s="2" t="s">
        <v>10</v>
      </c>
      <c r="C36" s="2" t="s">
        <v>77</v>
      </c>
      <c r="D36" s="2" t="s">
        <v>37</v>
      </c>
      <c r="E36" s="2"/>
      <c r="F36" s="2" t="n">
        <v>7</v>
      </c>
      <c r="G36" s="2" t="s">
        <v>16</v>
      </c>
      <c r="H36" s="2" t="s">
        <v>17</v>
      </c>
      <c r="I36" s="3"/>
      <c r="J36" s="3"/>
    </row>
    <row r="37" customFormat="false" ht="15" hidden="false" customHeight="false" outlineLevel="0" collapsed="false">
      <c r="A37" s="2" t="n">
        <v>2015</v>
      </c>
      <c r="B37" s="2" t="s">
        <v>10</v>
      </c>
      <c r="C37" s="2" t="s">
        <v>77</v>
      </c>
      <c r="D37" s="2" t="s">
        <v>38</v>
      </c>
      <c r="E37" s="2"/>
      <c r="F37" s="2" t="n">
        <v>1</v>
      </c>
      <c r="G37" s="2" t="s">
        <v>39</v>
      </c>
      <c r="H37" s="2" t="s">
        <v>40</v>
      </c>
      <c r="I37" s="3"/>
      <c r="J37" s="3"/>
    </row>
    <row r="38" customFormat="false" ht="15" hidden="false" customHeight="false" outlineLevel="0" collapsed="false">
      <c r="A38" s="2" t="n">
        <v>2015</v>
      </c>
      <c r="B38" s="2" t="s">
        <v>10</v>
      </c>
      <c r="C38" s="2" t="s">
        <v>77</v>
      </c>
      <c r="D38" s="2" t="s">
        <v>41</v>
      </c>
      <c r="E38" s="2"/>
      <c r="F38" s="2" t="n">
        <v>1</v>
      </c>
      <c r="G38" s="2" t="s">
        <v>42</v>
      </c>
      <c r="H38" s="2" t="s">
        <v>43</v>
      </c>
      <c r="I38" s="3"/>
      <c r="J38" s="3"/>
    </row>
    <row r="39" customFormat="false" ht="15" hidden="false" customHeight="false" outlineLevel="0" collapsed="false">
      <c r="A39" s="2" t="n">
        <v>2015</v>
      </c>
      <c r="B39" s="2" t="s">
        <v>10</v>
      </c>
      <c r="C39" s="2" t="s">
        <v>77</v>
      </c>
      <c r="D39" s="2" t="s">
        <v>78</v>
      </c>
      <c r="E39" s="2"/>
      <c r="F39" s="2" t="n">
        <v>1</v>
      </c>
      <c r="G39" s="2" t="s">
        <v>79</v>
      </c>
      <c r="H39" s="2" t="s">
        <v>80</v>
      </c>
      <c r="I39" s="3"/>
      <c r="J39" s="3"/>
    </row>
    <row r="40" customFormat="false" ht="15" hidden="false" customHeight="false" outlineLevel="0" collapsed="false">
      <c r="A40" s="2" t="n">
        <v>2015</v>
      </c>
      <c r="B40" s="2" t="s">
        <v>10</v>
      </c>
      <c r="C40" s="2" t="s">
        <v>77</v>
      </c>
      <c r="D40" s="2" t="s">
        <v>18</v>
      </c>
      <c r="E40" s="2"/>
      <c r="F40" s="2" t="n">
        <v>1</v>
      </c>
      <c r="G40" s="2" t="s">
        <v>19</v>
      </c>
      <c r="H40" s="2" t="s">
        <v>20</v>
      </c>
      <c r="I40" s="3"/>
      <c r="J40" s="3"/>
    </row>
    <row r="41" customFormat="false" ht="15" hidden="false" customHeight="false" outlineLevel="0" collapsed="false">
      <c r="A41" s="2" t="n">
        <v>2016</v>
      </c>
      <c r="B41" s="2" t="s">
        <v>81</v>
      </c>
      <c r="C41" s="2" t="s">
        <v>82</v>
      </c>
      <c r="D41" s="2" t="s">
        <v>12</v>
      </c>
      <c r="E41" s="2"/>
      <c r="F41" s="2" t="n">
        <v>23</v>
      </c>
      <c r="G41" s="2" t="s">
        <v>13</v>
      </c>
      <c r="H41" s="2" t="s">
        <v>14</v>
      </c>
      <c r="I41" s="3"/>
      <c r="J41" s="3"/>
    </row>
    <row r="42" customFormat="false" ht="15" hidden="false" customHeight="false" outlineLevel="0" collapsed="false">
      <c r="A42" s="2" t="n">
        <v>2016</v>
      </c>
      <c r="B42" s="2" t="s">
        <v>81</v>
      </c>
      <c r="C42" s="2" t="s">
        <v>82</v>
      </c>
      <c r="D42" s="2" t="s">
        <v>83</v>
      </c>
      <c r="E42" s="2"/>
      <c r="F42" s="2" t="n">
        <v>4</v>
      </c>
      <c r="G42" s="2" t="s">
        <v>35</v>
      </c>
      <c r="H42" s="2" t="s">
        <v>36</v>
      </c>
      <c r="I42" s="3"/>
      <c r="J42" s="3"/>
    </row>
    <row r="43" customFormat="false" ht="15" hidden="false" customHeight="false" outlineLevel="0" collapsed="false">
      <c r="A43" s="2" t="n">
        <v>2016</v>
      </c>
      <c r="B43" s="2" t="s">
        <v>81</v>
      </c>
      <c r="C43" s="2" t="s">
        <v>82</v>
      </c>
      <c r="D43" s="2" t="s">
        <v>84</v>
      </c>
      <c r="E43" s="2"/>
      <c r="F43" s="2" t="n">
        <v>6</v>
      </c>
      <c r="G43" s="2" t="s">
        <v>16</v>
      </c>
      <c r="H43" s="2" t="s">
        <v>17</v>
      </c>
      <c r="I43" s="3"/>
      <c r="J43" s="3"/>
    </row>
    <row r="44" customFormat="false" ht="15" hidden="false" customHeight="false" outlineLevel="0" collapsed="false">
      <c r="A44" s="2" t="n">
        <v>2016</v>
      </c>
      <c r="B44" s="2" t="s">
        <v>81</v>
      </c>
      <c r="C44" s="2" t="s">
        <v>82</v>
      </c>
      <c r="D44" s="2" t="s">
        <v>85</v>
      </c>
      <c r="E44" s="2"/>
      <c r="F44" s="2" t="n">
        <v>1</v>
      </c>
      <c r="G44" s="2" t="s">
        <v>42</v>
      </c>
      <c r="H44" s="2" t="s">
        <v>43</v>
      </c>
      <c r="I44" s="3"/>
      <c r="J44" s="3"/>
    </row>
    <row r="45" customFormat="false" ht="15" hidden="false" customHeight="false" outlineLevel="0" collapsed="false">
      <c r="A45" s="2" t="n">
        <v>2016</v>
      </c>
      <c r="B45" s="2" t="s">
        <v>81</v>
      </c>
      <c r="C45" s="2" t="s">
        <v>82</v>
      </c>
      <c r="D45" s="2" t="s">
        <v>86</v>
      </c>
      <c r="E45" s="2"/>
      <c r="F45" s="2" t="n">
        <v>5</v>
      </c>
      <c r="G45" s="2" t="s">
        <v>48</v>
      </c>
      <c r="H45" s="2" t="s">
        <v>49</v>
      </c>
      <c r="I45" s="3"/>
      <c r="J45" s="3"/>
    </row>
    <row r="46" customFormat="false" ht="15" hidden="false" customHeight="false" outlineLevel="0" collapsed="false">
      <c r="A46" s="2" t="n">
        <v>2016</v>
      </c>
      <c r="B46" s="2" t="s">
        <v>81</v>
      </c>
      <c r="C46" s="2" t="s">
        <v>82</v>
      </c>
      <c r="D46" s="2" t="s">
        <v>87</v>
      </c>
      <c r="E46" s="2"/>
      <c r="F46" s="2" t="n">
        <v>1</v>
      </c>
      <c r="G46" s="2" t="s">
        <v>63</v>
      </c>
      <c r="H46" s="2" t="s">
        <v>64</v>
      </c>
      <c r="I46" s="3"/>
      <c r="J46" s="3"/>
    </row>
    <row r="47" customFormat="false" ht="15" hidden="false" customHeight="false" outlineLevel="0" collapsed="false">
      <c r="A47" s="2" t="n">
        <v>2016</v>
      </c>
      <c r="B47" s="2" t="s">
        <v>81</v>
      </c>
      <c r="C47" s="2" t="s">
        <v>82</v>
      </c>
      <c r="D47" s="2" t="s">
        <v>88</v>
      </c>
      <c r="E47" s="2"/>
      <c r="F47" s="2" t="n">
        <v>1</v>
      </c>
      <c r="G47" s="2" t="s">
        <v>19</v>
      </c>
      <c r="H47" s="2" t="s">
        <v>20</v>
      </c>
      <c r="I47" s="3"/>
      <c r="J47" s="3"/>
    </row>
    <row r="48" customFormat="false" ht="15" hidden="false" customHeight="false" outlineLevel="0" collapsed="false">
      <c r="A48" s="2" t="n">
        <v>2017</v>
      </c>
      <c r="B48" s="2" t="s">
        <v>89</v>
      </c>
      <c r="C48" s="2" t="s">
        <v>90</v>
      </c>
      <c r="D48" s="2" t="s">
        <v>12</v>
      </c>
      <c r="E48" s="2" t="s">
        <v>91</v>
      </c>
      <c r="F48" s="2" t="n">
        <v>34</v>
      </c>
      <c r="G48" s="2" t="s">
        <v>13</v>
      </c>
      <c r="H48" s="2" t="s">
        <v>14</v>
      </c>
      <c r="I48" s="3"/>
      <c r="J48" s="3"/>
    </row>
    <row r="49" customFormat="false" ht="15" hidden="false" customHeight="false" outlineLevel="0" collapsed="false">
      <c r="A49" s="2" t="n">
        <v>2017</v>
      </c>
      <c r="B49" s="2" t="s">
        <v>89</v>
      </c>
      <c r="C49" s="2" t="s">
        <v>90</v>
      </c>
      <c r="D49" s="2" t="s">
        <v>83</v>
      </c>
      <c r="E49" s="2" t="s">
        <v>92</v>
      </c>
      <c r="F49" s="2" t="n">
        <v>2</v>
      </c>
      <c r="G49" s="2" t="s">
        <v>35</v>
      </c>
      <c r="H49" s="2" t="s">
        <v>36</v>
      </c>
      <c r="I49" s="3"/>
      <c r="J49" s="3"/>
    </row>
    <row r="50" customFormat="false" ht="15" hidden="false" customHeight="false" outlineLevel="0" collapsed="false">
      <c r="A50" s="2" t="n">
        <v>2017</v>
      </c>
      <c r="B50" s="2" t="s">
        <v>89</v>
      </c>
      <c r="C50" s="2" t="s">
        <v>90</v>
      </c>
      <c r="D50" s="2" t="s">
        <v>84</v>
      </c>
      <c r="E50" s="2" t="s">
        <v>93</v>
      </c>
      <c r="F50" s="2" t="n">
        <v>5</v>
      </c>
      <c r="G50" s="2" t="s">
        <v>16</v>
      </c>
      <c r="H50" s="2" t="s">
        <v>17</v>
      </c>
      <c r="I50" s="3"/>
      <c r="J50" s="3"/>
    </row>
    <row r="51" customFormat="false" ht="15" hidden="false" customHeight="false" outlineLevel="0" collapsed="false">
      <c r="A51" s="2" t="n">
        <v>2017</v>
      </c>
      <c r="B51" s="2" t="s">
        <v>89</v>
      </c>
      <c r="C51" s="2" t="s">
        <v>90</v>
      </c>
      <c r="D51" s="2" t="s">
        <v>86</v>
      </c>
      <c r="E51" s="2" t="s">
        <v>94</v>
      </c>
      <c r="F51" s="2" t="n">
        <v>6</v>
      </c>
      <c r="G51" s="2" t="s">
        <v>48</v>
      </c>
      <c r="H51" s="2" t="s">
        <v>49</v>
      </c>
      <c r="I51" s="3"/>
      <c r="J51" s="3"/>
    </row>
    <row r="52" customFormat="false" ht="15" hidden="false" customHeight="false" outlineLevel="0" collapsed="false">
      <c r="A52" s="2" t="n">
        <v>2017</v>
      </c>
      <c r="B52" s="2" t="s">
        <v>89</v>
      </c>
      <c r="C52" s="2" t="s">
        <v>90</v>
      </c>
      <c r="D52" s="2" t="s">
        <v>95</v>
      </c>
      <c r="E52" s="2" t="s">
        <v>96</v>
      </c>
      <c r="F52" s="2" t="n">
        <v>1</v>
      </c>
      <c r="G52" s="2" t="s">
        <v>57</v>
      </c>
      <c r="H52" s="2" t="s">
        <v>58</v>
      </c>
      <c r="I52" s="3"/>
      <c r="J52" s="3"/>
    </row>
    <row r="53" customFormat="false" ht="15" hidden="false" customHeight="false" outlineLevel="0" collapsed="false">
      <c r="A53" s="2" t="n">
        <v>2017</v>
      </c>
      <c r="B53" s="2" t="s">
        <v>89</v>
      </c>
      <c r="C53" s="2" t="s">
        <v>90</v>
      </c>
      <c r="D53" s="2" t="s">
        <v>97</v>
      </c>
      <c r="E53" s="2" t="s">
        <v>98</v>
      </c>
      <c r="F53" s="2" t="n">
        <v>1</v>
      </c>
      <c r="G53" s="2" t="s">
        <v>25</v>
      </c>
      <c r="H53" s="2" t="s">
        <v>26</v>
      </c>
      <c r="I53" s="3"/>
      <c r="J53" s="3"/>
    </row>
    <row r="54" customFormat="false" ht="15" hidden="false" customHeight="false" outlineLevel="0" collapsed="false">
      <c r="A54" s="2" t="n">
        <v>2018</v>
      </c>
      <c r="B54" s="2" t="s">
        <v>81</v>
      </c>
      <c r="C54" s="2" t="s">
        <v>99</v>
      </c>
      <c r="D54" s="2" t="s">
        <v>100</v>
      </c>
      <c r="E54" s="2"/>
      <c r="F54" s="2" t="n">
        <v>1</v>
      </c>
      <c r="G54" s="2" t="s">
        <v>101</v>
      </c>
      <c r="H54" s="2" t="s">
        <v>102</v>
      </c>
      <c r="I54" s="3"/>
      <c r="J54" s="3"/>
    </row>
    <row r="55" customFormat="false" ht="15" hidden="false" customHeight="false" outlineLevel="0" collapsed="false">
      <c r="A55" s="2" t="n">
        <v>2018</v>
      </c>
      <c r="B55" s="2" t="s">
        <v>81</v>
      </c>
      <c r="C55" s="2" t="s">
        <v>99</v>
      </c>
      <c r="D55" s="2" t="s">
        <v>103</v>
      </c>
      <c r="E55" s="2"/>
      <c r="F55" s="2" t="n">
        <v>21</v>
      </c>
      <c r="G55" s="2" t="s">
        <v>29</v>
      </c>
      <c r="H55" s="2" t="s">
        <v>30</v>
      </c>
      <c r="I55" s="3"/>
      <c r="J55" s="3"/>
    </row>
    <row r="56" customFormat="false" ht="15" hidden="false" customHeight="false" outlineLevel="0" collapsed="false">
      <c r="A56" s="2" t="n">
        <v>2018</v>
      </c>
      <c r="B56" s="2" t="s">
        <v>81</v>
      </c>
      <c r="C56" s="2" t="s">
        <v>99</v>
      </c>
      <c r="D56" s="2" t="s">
        <v>12</v>
      </c>
      <c r="E56" s="2"/>
      <c r="F56" s="2" t="n">
        <v>213</v>
      </c>
      <c r="G56" s="2" t="s">
        <v>13</v>
      </c>
      <c r="H56" s="2" t="s">
        <v>14</v>
      </c>
      <c r="I56" s="3"/>
      <c r="J56" s="3"/>
    </row>
    <row r="57" customFormat="false" ht="15" hidden="false" customHeight="false" outlineLevel="0" collapsed="false">
      <c r="A57" s="2" t="n">
        <v>2018</v>
      </c>
      <c r="B57" s="2" t="s">
        <v>81</v>
      </c>
      <c r="C57" s="2" t="s">
        <v>99</v>
      </c>
      <c r="D57" s="2" t="s">
        <v>83</v>
      </c>
      <c r="E57" s="2"/>
      <c r="F57" s="2" t="n">
        <v>54</v>
      </c>
      <c r="G57" s="2" t="s">
        <v>35</v>
      </c>
      <c r="H57" s="2" t="s">
        <v>36</v>
      </c>
      <c r="I57" s="3"/>
      <c r="J57" s="3"/>
    </row>
    <row r="58" customFormat="false" ht="15" hidden="false" customHeight="false" outlineLevel="0" collapsed="false">
      <c r="A58" s="2" t="n">
        <v>2018</v>
      </c>
      <c r="B58" s="2" t="s">
        <v>81</v>
      </c>
      <c r="C58" s="2" t="s">
        <v>99</v>
      </c>
      <c r="D58" s="2" t="s">
        <v>84</v>
      </c>
      <c r="E58" s="2"/>
      <c r="F58" s="2" t="n">
        <v>56</v>
      </c>
      <c r="G58" s="2" t="s">
        <v>16</v>
      </c>
      <c r="H58" s="2" t="s">
        <v>17</v>
      </c>
      <c r="I58" s="3"/>
      <c r="J58" s="3"/>
    </row>
    <row r="59" customFormat="false" ht="15" hidden="false" customHeight="false" outlineLevel="0" collapsed="false">
      <c r="A59" s="2" t="n">
        <v>2018</v>
      </c>
      <c r="B59" s="2" t="s">
        <v>81</v>
      </c>
      <c r="C59" s="2" t="s">
        <v>99</v>
      </c>
      <c r="D59" s="2" t="s">
        <v>104</v>
      </c>
      <c r="E59" s="2"/>
      <c r="F59" s="2" t="n">
        <v>8</v>
      </c>
      <c r="G59" s="2" t="s">
        <v>39</v>
      </c>
      <c r="H59" s="2" t="s">
        <v>40</v>
      </c>
      <c r="I59" s="3"/>
      <c r="J59" s="3"/>
    </row>
    <row r="60" customFormat="false" ht="15" hidden="false" customHeight="false" outlineLevel="0" collapsed="false">
      <c r="A60" s="2" t="n">
        <v>2018</v>
      </c>
      <c r="B60" s="2" t="s">
        <v>81</v>
      </c>
      <c r="C60" s="2" t="s">
        <v>99</v>
      </c>
      <c r="D60" s="2" t="s">
        <v>85</v>
      </c>
      <c r="E60" s="2"/>
      <c r="F60" s="2" t="n">
        <v>1</v>
      </c>
      <c r="G60" s="2" t="s">
        <v>42</v>
      </c>
      <c r="H60" s="2" t="s">
        <v>43</v>
      </c>
      <c r="I60" s="3"/>
      <c r="J60" s="3"/>
    </row>
    <row r="61" customFormat="false" ht="15" hidden="false" customHeight="false" outlineLevel="0" collapsed="false">
      <c r="A61" s="2" t="n">
        <v>2018</v>
      </c>
      <c r="B61" s="2" t="s">
        <v>81</v>
      </c>
      <c r="C61" s="2" t="s">
        <v>99</v>
      </c>
      <c r="D61" s="2" t="s">
        <v>86</v>
      </c>
      <c r="E61" s="2"/>
      <c r="F61" s="2" t="n">
        <v>20</v>
      </c>
      <c r="G61" s="2" t="s">
        <v>48</v>
      </c>
      <c r="H61" s="2" t="s">
        <v>49</v>
      </c>
      <c r="I61" s="3"/>
      <c r="J61" s="3"/>
    </row>
    <row r="62" customFormat="false" ht="15" hidden="false" customHeight="false" outlineLevel="0" collapsed="false">
      <c r="A62" s="2" t="n">
        <v>2018</v>
      </c>
      <c r="B62" s="2" t="s">
        <v>81</v>
      </c>
      <c r="C62" s="2" t="s">
        <v>99</v>
      </c>
      <c r="D62" s="2" t="s">
        <v>105</v>
      </c>
      <c r="E62" s="2"/>
      <c r="F62" s="2" t="n">
        <v>3</v>
      </c>
      <c r="G62" s="2" t="s">
        <v>51</v>
      </c>
      <c r="H62" s="2" t="s">
        <v>52</v>
      </c>
      <c r="I62" s="3"/>
      <c r="J62" s="3"/>
    </row>
    <row r="63" customFormat="false" ht="15" hidden="false" customHeight="false" outlineLevel="0" collapsed="false">
      <c r="A63" s="2" t="n">
        <v>2018</v>
      </c>
      <c r="B63" s="2" t="s">
        <v>81</v>
      </c>
      <c r="C63" s="2" t="s">
        <v>99</v>
      </c>
      <c r="D63" s="2" t="s">
        <v>106</v>
      </c>
      <c r="E63" s="2"/>
      <c r="F63" s="2" t="n">
        <v>1</v>
      </c>
      <c r="G63" s="2" t="s">
        <v>54</v>
      </c>
      <c r="H63" s="2" t="s">
        <v>55</v>
      </c>
      <c r="I63" s="3"/>
      <c r="J63" s="3"/>
    </row>
    <row r="64" customFormat="false" ht="15" hidden="false" customHeight="false" outlineLevel="0" collapsed="false">
      <c r="A64" s="2" t="n">
        <v>2018</v>
      </c>
      <c r="B64" s="2" t="s">
        <v>81</v>
      </c>
      <c r="C64" s="2" t="s">
        <v>99</v>
      </c>
      <c r="D64" s="2" t="s">
        <v>107</v>
      </c>
      <c r="E64" s="2"/>
      <c r="F64" s="2" t="n">
        <v>1</v>
      </c>
      <c r="G64" s="2" t="s">
        <v>75</v>
      </c>
      <c r="H64" s="2" t="s">
        <v>76</v>
      </c>
      <c r="I64" s="3"/>
      <c r="J64" s="3"/>
    </row>
    <row r="65" customFormat="false" ht="15" hidden="false" customHeight="false" outlineLevel="0" collapsed="false">
      <c r="A65" s="2" t="n">
        <v>2018</v>
      </c>
      <c r="B65" s="2" t="s">
        <v>81</v>
      </c>
      <c r="C65" s="2" t="s">
        <v>99</v>
      </c>
      <c r="D65" s="2" t="s">
        <v>108</v>
      </c>
      <c r="E65" s="2"/>
      <c r="F65" s="2" t="n">
        <v>6</v>
      </c>
      <c r="G65" s="2" t="s">
        <v>60</v>
      </c>
      <c r="H65" s="2" t="s">
        <v>61</v>
      </c>
      <c r="I65" s="3"/>
      <c r="J65" s="3"/>
    </row>
    <row r="66" customFormat="false" ht="15" hidden="false" customHeight="false" outlineLevel="0" collapsed="false">
      <c r="A66" s="2" t="n">
        <v>2018</v>
      </c>
      <c r="B66" s="2" t="s">
        <v>81</v>
      </c>
      <c r="C66" s="2" t="s">
        <v>99</v>
      </c>
      <c r="D66" s="2" t="s">
        <v>87</v>
      </c>
      <c r="E66" s="2"/>
      <c r="F66" s="2" t="n">
        <v>5</v>
      </c>
      <c r="G66" s="2" t="s">
        <v>63</v>
      </c>
      <c r="H66" s="2" t="s">
        <v>64</v>
      </c>
      <c r="I66" s="3"/>
      <c r="J66" s="3"/>
    </row>
    <row r="67" customFormat="false" ht="15" hidden="false" customHeight="false" outlineLevel="0" collapsed="false">
      <c r="A67" s="2" t="n">
        <v>2018</v>
      </c>
      <c r="B67" s="2" t="s">
        <v>81</v>
      </c>
      <c r="C67" s="2" t="s">
        <v>99</v>
      </c>
      <c r="D67" s="2" t="s">
        <v>88</v>
      </c>
      <c r="E67" s="2"/>
      <c r="F67" s="2" t="n">
        <v>14</v>
      </c>
      <c r="G67" s="2" t="s">
        <v>19</v>
      </c>
      <c r="H67" s="2" t="s">
        <v>20</v>
      </c>
      <c r="I67" s="3"/>
      <c r="J67" s="3"/>
    </row>
    <row r="68" customFormat="false" ht="15" hidden="false" customHeight="false" outlineLevel="0" collapsed="false">
      <c r="A68" s="2" t="n">
        <v>2018</v>
      </c>
      <c r="B68" s="2" t="s">
        <v>81</v>
      </c>
      <c r="C68" s="2" t="s">
        <v>99</v>
      </c>
      <c r="D68" s="2" t="s">
        <v>109</v>
      </c>
      <c r="E68" s="2"/>
      <c r="F68" s="2" t="n">
        <v>2</v>
      </c>
      <c r="G68" s="2" t="s">
        <v>22</v>
      </c>
      <c r="H68" s="2" t="s">
        <v>23</v>
      </c>
      <c r="I68" s="3"/>
      <c r="J68" s="3"/>
    </row>
    <row r="69" customFormat="false" ht="15" hidden="false" customHeight="false" outlineLevel="0" collapsed="false">
      <c r="A69" s="2" t="n">
        <v>2018</v>
      </c>
      <c r="B69" s="2" t="s">
        <v>81</v>
      </c>
      <c r="C69" s="2" t="s">
        <v>99</v>
      </c>
      <c r="D69" s="2" t="s">
        <v>97</v>
      </c>
      <c r="E69" s="2"/>
      <c r="F69" s="2" t="n">
        <v>7</v>
      </c>
      <c r="G69" s="2" t="s">
        <v>25</v>
      </c>
      <c r="H69" s="2" t="s">
        <v>26</v>
      </c>
      <c r="I69" s="3"/>
      <c r="J69" s="3"/>
    </row>
    <row r="70" customFormat="false" ht="15" hidden="false" customHeight="false" outlineLevel="0" collapsed="false">
      <c r="A70" s="2" t="n">
        <v>2018</v>
      </c>
      <c r="B70" s="2" t="s">
        <v>81</v>
      </c>
      <c r="C70" s="2" t="s">
        <v>99</v>
      </c>
      <c r="D70" s="2" t="s">
        <v>110</v>
      </c>
      <c r="E70" s="2"/>
      <c r="F70" s="2" t="n">
        <v>2</v>
      </c>
      <c r="G70" s="2" t="s">
        <v>68</v>
      </c>
      <c r="H70" s="2" t="s">
        <v>69</v>
      </c>
      <c r="I70" s="3"/>
      <c r="J70" s="3"/>
    </row>
    <row r="71" customFormat="false" ht="15" hidden="false" customHeight="false" outlineLevel="0" collapsed="false">
      <c r="A71" s="2" t="n">
        <v>2019</v>
      </c>
      <c r="B71" s="2" t="s">
        <v>81</v>
      </c>
      <c r="C71" s="2" t="s">
        <v>111</v>
      </c>
      <c r="D71" s="2" t="s">
        <v>103</v>
      </c>
      <c r="E71" s="2"/>
      <c r="F71" s="2" t="n">
        <v>1</v>
      </c>
      <c r="G71" s="2" t="s">
        <v>29</v>
      </c>
      <c r="H71" s="2" t="s">
        <v>30</v>
      </c>
      <c r="I71" s="3"/>
      <c r="J71" s="3"/>
    </row>
    <row r="72" customFormat="false" ht="15" hidden="false" customHeight="false" outlineLevel="0" collapsed="false">
      <c r="A72" s="2" t="n">
        <v>2019</v>
      </c>
      <c r="B72" s="2" t="s">
        <v>81</v>
      </c>
      <c r="C72" s="2" t="s">
        <v>111</v>
      </c>
      <c r="D72" s="2" t="s">
        <v>12</v>
      </c>
      <c r="E72" s="2"/>
      <c r="F72" s="2" t="n">
        <v>20</v>
      </c>
      <c r="G72" s="2" t="s">
        <v>13</v>
      </c>
      <c r="H72" s="2" t="s">
        <v>14</v>
      </c>
      <c r="I72" s="3"/>
      <c r="J72" s="3"/>
    </row>
    <row r="73" customFormat="false" ht="15" hidden="false" customHeight="false" outlineLevel="0" collapsed="false">
      <c r="A73" s="2" t="n">
        <v>2019</v>
      </c>
      <c r="B73" s="2" t="s">
        <v>81</v>
      </c>
      <c r="C73" s="2" t="s">
        <v>111</v>
      </c>
      <c r="D73" s="2" t="s">
        <v>84</v>
      </c>
      <c r="E73" s="2"/>
      <c r="F73" s="2" t="n">
        <v>2</v>
      </c>
      <c r="G73" s="2" t="s">
        <v>16</v>
      </c>
      <c r="H73" s="2" t="s">
        <v>17</v>
      </c>
      <c r="I73" s="3"/>
      <c r="J73" s="3"/>
    </row>
    <row r="74" customFormat="false" ht="15" hidden="false" customHeight="false" outlineLevel="0" collapsed="false">
      <c r="A74" s="2" t="n">
        <v>2019</v>
      </c>
      <c r="B74" s="2" t="s">
        <v>81</v>
      </c>
      <c r="C74" s="2" t="s">
        <v>111</v>
      </c>
      <c r="D74" s="2" t="s">
        <v>104</v>
      </c>
      <c r="E74" s="2"/>
      <c r="F74" s="2" t="n">
        <v>1</v>
      </c>
      <c r="G74" s="2" t="s">
        <v>39</v>
      </c>
      <c r="H74" s="2" t="s">
        <v>40</v>
      </c>
      <c r="I74" s="3"/>
      <c r="J74" s="3"/>
    </row>
    <row r="75" customFormat="false" ht="15" hidden="false" customHeight="false" outlineLevel="0" collapsed="false">
      <c r="A75" s="2" t="n">
        <v>2019</v>
      </c>
      <c r="B75" s="2" t="s">
        <v>81</v>
      </c>
      <c r="C75" s="2" t="s">
        <v>111</v>
      </c>
      <c r="D75" s="2" t="s">
        <v>86</v>
      </c>
      <c r="E75" s="2"/>
      <c r="F75" s="2" t="n">
        <v>1</v>
      </c>
      <c r="G75" s="2" t="s">
        <v>48</v>
      </c>
      <c r="H75" s="2" t="s">
        <v>49</v>
      </c>
      <c r="I75" s="3"/>
      <c r="J75" s="3"/>
    </row>
    <row r="76" customFormat="false" ht="15" hidden="false" customHeight="false" outlineLevel="0" collapsed="false">
      <c r="A76" s="2" t="n">
        <v>2019</v>
      </c>
      <c r="B76" s="2" t="s">
        <v>81</v>
      </c>
      <c r="C76" s="2" t="s">
        <v>111</v>
      </c>
      <c r="D76" s="2" t="s">
        <v>95</v>
      </c>
      <c r="E76" s="2"/>
      <c r="F76" s="2" t="n">
        <v>1</v>
      </c>
      <c r="G76" s="2" t="s">
        <v>57</v>
      </c>
      <c r="H76" s="2" t="s">
        <v>58</v>
      </c>
      <c r="I76" s="3"/>
      <c r="J76" s="3"/>
    </row>
    <row r="77" customFormat="false" ht="15" hidden="false" customHeight="false" outlineLevel="0" collapsed="false">
      <c r="A77" s="2" t="n">
        <v>2019</v>
      </c>
      <c r="B77" s="2" t="s">
        <v>81</v>
      </c>
      <c r="C77" s="2" t="s">
        <v>111</v>
      </c>
      <c r="D77" s="2" t="s">
        <v>108</v>
      </c>
      <c r="E77" s="2"/>
      <c r="F77" s="2" t="n">
        <v>1</v>
      </c>
      <c r="G77" s="2" t="s">
        <v>60</v>
      </c>
      <c r="H77" s="2" t="s">
        <v>61</v>
      </c>
      <c r="I77" s="3"/>
      <c r="J77" s="3"/>
    </row>
    <row r="78" customFormat="false" ht="15" hidden="false" customHeight="false" outlineLevel="0" collapsed="false">
      <c r="A78" s="2" t="n">
        <v>2021</v>
      </c>
      <c r="B78" s="2" t="s">
        <v>112</v>
      </c>
      <c r="C78" s="2" t="s">
        <v>113</v>
      </c>
      <c r="D78" s="2" t="s">
        <v>12</v>
      </c>
      <c r="E78" s="2" t="s">
        <v>91</v>
      </c>
      <c r="F78" s="2" t="n">
        <v>4</v>
      </c>
      <c r="G78" s="2" t="s">
        <v>13</v>
      </c>
      <c r="H78" s="2" t="s">
        <v>14</v>
      </c>
      <c r="I78" s="3"/>
      <c r="J78" s="3"/>
    </row>
    <row r="79" customFormat="false" ht="15" hidden="false" customHeight="false" outlineLevel="0" collapsed="false">
      <c r="A79" s="2" t="n">
        <v>2021</v>
      </c>
      <c r="B79" s="2" t="s">
        <v>112</v>
      </c>
      <c r="C79" s="2" t="s">
        <v>113</v>
      </c>
      <c r="D79" s="2" t="s">
        <v>83</v>
      </c>
      <c r="E79" s="2" t="s">
        <v>92</v>
      </c>
      <c r="F79" s="2" t="n">
        <v>7</v>
      </c>
      <c r="G79" s="2" t="s">
        <v>35</v>
      </c>
      <c r="H79" s="2" t="s">
        <v>36</v>
      </c>
      <c r="I79" s="3"/>
      <c r="J79" s="3"/>
    </row>
    <row r="80" customFormat="false" ht="15" hidden="false" customHeight="false" outlineLevel="0" collapsed="false">
      <c r="A80" s="2" t="n">
        <v>2021</v>
      </c>
      <c r="B80" s="2" t="s">
        <v>112</v>
      </c>
      <c r="C80" s="2" t="s">
        <v>113</v>
      </c>
      <c r="D80" s="2" t="s">
        <v>84</v>
      </c>
      <c r="E80" s="2" t="s">
        <v>93</v>
      </c>
      <c r="F80" s="2" t="n">
        <v>2</v>
      </c>
      <c r="G80" s="2" t="s">
        <v>16</v>
      </c>
      <c r="H80" s="2" t="s">
        <v>17</v>
      </c>
      <c r="I80" s="3"/>
      <c r="J80" s="3"/>
    </row>
    <row r="81" customFormat="false" ht="15" hidden="false" customHeight="false" outlineLevel="0" collapsed="false">
      <c r="A81" s="2" t="n">
        <v>2021</v>
      </c>
      <c r="B81" s="2" t="s">
        <v>112</v>
      </c>
      <c r="C81" s="2" t="s">
        <v>113</v>
      </c>
      <c r="D81" s="2" t="s">
        <v>108</v>
      </c>
      <c r="E81" s="2" t="s">
        <v>114</v>
      </c>
      <c r="F81" s="2" t="n">
        <v>1</v>
      </c>
      <c r="G81" s="2" t="s">
        <v>60</v>
      </c>
      <c r="H81" s="2" t="s">
        <v>61</v>
      </c>
      <c r="I81" s="3"/>
      <c r="J81" s="3"/>
    </row>
    <row r="82" customFormat="false" ht="15" hidden="false" customHeight="false" outlineLevel="0" collapsed="false">
      <c r="A82" s="2" t="n">
        <v>2021</v>
      </c>
      <c r="B82" s="2" t="s">
        <v>112</v>
      </c>
      <c r="C82" s="2" t="s">
        <v>113</v>
      </c>
      <c r="D82" s="2" t="s">
        <v>87</v>
      </c>
      <c r="E82" s="2" t="s">
        <v>115</v>
      </c>
      <c r="F82" s="2" t="n">
        <v>1</v>
      </c>
      <c r="G82" s="2" t="s">
        <v>63</v>
      </c>
      <c r="H82" s="2" t="s">
        <v>64</v>
      </c>
      <c r="I82" s="3"/>
      <c r="J82" s="3"/>
    </row>
    <row r="83" customFormat="false" ht="15" hidden="false" customHeight="false" outlineLevel="0" collapsed="false">
      <c r="A83" s="2" t="n">
        <v>2021</v>
      </c>
      <c r="B83" s="2" t="s">
        <v>112</v>
      </c>
      <c r="C83" s="2" t="s">
        <v>113</v>
      </c>
      <c r="D83" s="2" t="s">
        <v>88</v>
      </c>
      <c r="E83" s="2" t="s">
        <v>116</v>
      </c>
      <c r="F83" s="2" t="n">
        <v>3</v>
      </c>
      <c r="G83" s="2" t="s">
        <v>19</v>
      </c>
      <c r="H83" s="2" t="s">
        <v>20</v>
      </c>
      <c r="I83" s="3"/>
      <c r="J83" s="3"/>
    </row>
    <row r="84" customFormat="false" ht="15" hidden="false" customHeight="false" outlineLevel="0" collapsed="false">
      <c r="A84" s="2" t="n">
        <v>2024</v>
      </c>
      <c r="B84" s="2" t="s">
        <v>117</v>
      </c>
      <c r="C84" s="2" t="s">
        <v>118</v>
      </c>
      <c r="D84" s="2" t="s">
        <v>103</v>
      </c>
      <c r="E84" s="2" t="s">
        <v>119</v>
      </c>
      <c r="F84" s="2" t="n">
        <v>1</v>
      </c>
      <c r="G84" s="2" t="s">
        <v>29</v>
      </c>
      <c r="H84" s="2" t="s">
        <v>30</v>
      </c>
      <c r="I84" s="3"/>
      <c r="J84" s="3"/>
    </row>
    <row r="85" customFormat="false" ht="15" hidden="false" customHeight="false" outlineLevel="0" collapsed="false">
      <c r="A85" s="2" t="n">
        <v>2024</v>
      </c>
      <c r="B85" s="2" t="s">
        <v>117</v>
      </c>
      <c r="C85" s="2" t="s">
        <v>118</v>
      </c>
      <c r="D85" s="2" t="s">
        <v>12</v>
      </c>
      <c r="E85" s="2" t="s">
        <v>91</v>
      </c>
      <c r="F85" s="2" t="n">
        <v>21</v>
      </c>
      <c r="G85" s="2" t="s">
        <v>13</v>
      </c>
      <c r="H85" s="2" t="s">
        <v>14</v>
      </c>
      <c r="I85" s="3"/>
      <c r="J85" s="3"/>
    </row>
    <row r="86" customFormat="false" ht="15" hidden="false" customHeight="false" outlineLevel="0" collapsed="false">
      <c r="A86" s="2" t="n">
        <v>2024</v>
      </c>
      <c r="B86" s="2" t="s">
        <v>117</v>
      </c>
      <c r="C86" s="2" t="s">
        <v>118</v>
      </c>
      <c r="D86" s="2" t="s">
        <v>83</v>
      </c>
      <c r="E86" s="2" t="s">
        <v>92</v>
      </c>
      <c r="F86" s="2" t="n">
        <v>9</v>
      </c>
      <c r="G86" s="2" t="s">
        <v>35</v>
      </c>
      <c r="H86" s="2" t="s">
        <v>36</v>
      </c>
      <c r="I86" s="3"/>
      <c r="J86" s="3"/>
    </row>
    <row r="87" customFormat="false" ht="15" hidden="false" customHeight="false" outlineLevel="0" collapsed="false">
      <c r="A87" s="2" t="n">
        <v>2024</v>
      </c>
      <c r="B87" s="2" t="s">
        <v>117</v>
      </c>
      <c r="C87" s="2" t="s">
        <v>118</v>
      </c>
      <c r="D87" s="2" t="s">
        <v>84</v>
      </c>
      <c r="E87" s="2" t="s">
        <v>93</v>
      </c>
      <c r="F87" s="2" t="n">
        <v>5</v>
      </c>
      <c r="G87" s="2" t="s">
        <v>16</v>
      </c>
      <c r="H87" s="2" t="s">
        <v>17</v>
      </c>
      <c r="I87" s="3"/>
      <c r="J87" s="3"/>
    </row>
    <row r="88" customFormat="false" ht="15" hidden="false" customHeight="false" outlineLevel="0" collapsed="false">
      <c r="A88" s="2" t="n">
        <v>2024</v>
      </c>
      <c r="B88" s="2" t="s">
        <v>117</v>
      </c>
      <c r="C88" s="2" t="s">
        <v>118</v>
      </c>
      <c r="D88" s="2" t="s">
        <v>85</v>
      </c>
      <c r="E88" s="2" t="s">
        <v>120</v>
      </c>
      <c r="F88" s="2" t="n">
        <v>4</v>
      </c>
      <c r="G88" s="2" t="s">
        <v>42</v>
      </c>
      <c r="H88" s="2" t="s">
        <v>43</v>
      </c>
      <c r="I88" s="3"/>
      <c r="J88" s="3"/>
    </row>
    <row r="89" customFormat="false" ht="15" hidden="false" customHeight="false" outlineLevel="0" collapsed="false">
      <c r="A89" s="2" t="n">
        <v>2024</v>
      </c>
      <c r="B89" s="2" t="s">
        <v>117</v>
      </c>
      <c r="C89" s="2" t="s">
        <v>118</v>
      </c>
      <c r="D89" s="2" t="s">
        <v>86</v>
      </c>
      <c r="E89" s="2" t="s">
        <v>94</v>
      </c>
      <c r="F89" s="2" t="n">
        <v>5</v>
      </c>
      <c r="G89" s="2" t="s">
        <v>48</v>
      </c>
      <c r="H89" s="2" t="s">
        <v>49</v>
      </c>
      <c r="I89" s="3"/>
      <c r="J89" s="3"/>
    </row>
    <row r="90" customFormat="false" ht="15" hidden="false" customHeight="false" outlineLevel="0" collapsed="false">
      <c r="A90" s="2" t="n">
        <v>2024</v>
      </c>
      <c r="B90" s="2" t="s">
        <v>117</v>
      </c>
      <c r="C90" s="2" t="s">
        <v>118</v>
      </c>
      <c r="D90" s="2" t="s">
        <v>105</v>
      </c>
      <c r="E90" s="2" t="s">
        <v>121</v>
      </c>
      <c r="F90" s="2" t="n">
        <v>1</v>
      </c>
      <c r="G90" s="2" t="s">
        <v>51</v>
      </c>
      <c r="H90" s="2" t="s">
        <v>52</v>
      </c>
      <c r="I90" s="3"/>
      <c r="J90" s="3"/>
    </row>
    <row r="91" customFormat="false" ht="15" hidden="false" customHeight="false" outlineLevel="0" collapsed="false">
      <c r="A91" s="2" t="n">
        <v>2024</v>
      </c>
      <c r="B91" s="2" t="s">
        <v>117</v>
      </c>
      <c r="C91" s="2" t="s">
        <v>118</v>
      </c>
      <c r="D91" s="2" t="s">
        <v>107</v>
      </c>
      <c r="E91" s="2" t="s">
        <v>122</v>
      </c>
      <c r="F91" s="2" t="n">
        <v>1</v>
      </c>
      <c r="G91" s="2" t="s">
        <v>75</v>
      </c>
      <c r="H91" s="2" t="s">
        <v>76</v>
      </c>
      <c r="I91" s="3"/>
      <c r="J91" s="3"/>
    </row>
    <row r="92" customFormat="false" ht="15" hidden="false" customHeight="false" outlineLevel="0" collapsed="false">
      <c r="A92" s="2" t="n">
        <v>2024</v>
      </c>
      <c r="B92" s="2" t="s">
        <v>117</v>
      </c>
      <c r="C92" s="2" t="s">
        <v>118</v>
      </c>
      <c r="D92" s="2" t="s">
        <v>95</v>
      </c>
      <c r="E92" s="2" t="s">
        <v>96</v>
      </c>
      <c r="F92" s="2" t="n">
        <v>2</v>
      </c>
      <c r="G92" s="2" t="s">
        <v>57</v>
      </c>
      <c r="H92" s="2" t="s">
        <v>58</v>
      </c>
      <c r="I92" s="3"/>
      <c r="J92" s="3"/>
    </row>
    <row r="93" customFormat="false" ht="15" hidden="false" customHeight="false" outlineLevel="0" collapsed="false">
      <c r="A93" s="2" t="n">
        <v>2024</v>
      </c>
      <c r="B93" s="2" t="s">
        <v>117</v>
      </c>
      <c r="C93" s="2" t="s">
        <v>118</v>
      </c>
      <c r="D93" s="2" t="s">
        <v>108</v>
      </c>
      <c r="E93" s="2" t="s">
        <v>114</v>
      </c>
      <c r="F93" s="2" t="n">
        <v>2</v>
      </c>
      <c r="G93" s="2" t="s">
        <v>60</v>
      </c>
      <c r="H93" s="2" t="s">
        <v>61</v>
      </c>
      <c r="I93" s="3"/>
      <c r="J93" s="3"/>
    </row>
    <row r="94" customFormat="false" ht="15" hidden="false" customHeight="false" outlineLevel="0" collapsed="false">
      <c r="A94" s="2" t="n">
        <v>2024</v>
      </c>
      <c r="B94" s="2" t="s">
        <v>117</v>
      </c>
      <c r="C94" s="2" t="s">
        <v>118</v>
      </c>
      <c r="D94" s="2" t="s">
        <v>87</v>
      </c>
      <c r="E94" s="2" t="s">
        <v>115</v>
      </c>
      <c r="F94" s="2" t="n">
        <v>3</v>
      </c>
      <c r="G94" s="2" t="s">
        <v>63</v>
      </c>
      <c r="H94" s="2" t="s">
        <v>64</v>
      </c>
      <c r="I94" s="3"/>
      <c r="J94" s="3"/>
    </row>
    <row r="95" customFormat="false" ht="15" hidden="false" customHeight="false" outlineLevel="0" collapsed="false">
      <c r="A95" s="2" t="n">
        <v>2024</v>
      </c>
      <c r="B95" s="2" t="s">
        <v>117</v>
      </c>
      <c r="C95" s="2" t="s">
        <v>118</v>
      </c>
      <c r="D95" s="2" t="s">
        <v>88</v>
      </c>
      <c r="E95" s="2" t="s">
        <v>116</v>
      </c>
      <c r="F95" s="2" t="n">
        <v>3</v>
      </c>
      <c r="G95" s="2" t="s">
        <v>19</v>
      </c>
      <c r="H95" s="2" t="s">
        <v>20</v>
      </c>
      <c r="I95" s="3"/>
      <c r="J95" s="3"/>
    </row>
    <row r="96" customFormat="false" ht="15" hidden="false" customHeight="false" outlineLevel="0" collapsed="false">
      <c r="A96" s="2" t="n">
        <v>2024</v>
      </c>
      <c r="B96" s="2" t="s">
        <v>117</v>
      </c>
      <c r="C96" s="2" t="s">
        <v>118</v>
      </c>
      <c r="D96" s="2" t="s">
        <v>109</v>
      </c>
      <c r="E96" s="2" t="s">
        <v>123</v>
      </c>
      <c r="F96" s="2" t="n">
        <v>4</v>
      </c>
      <c r="G96" s="2" t="s">
        <v>22</v>
      </c>
      <c r="H96" s="2" t="s">
        <v>23</v>
      </c>
      <c r="I96" s="3"/>
      <c r="J96" s="3"/>
    </row>
    <row r="97" customFormat="false" ht="15" hidden="false" customHeight="false" outlineLevel="0" collapsed="false">
      <c r="A97" s="2" t="n">
        <v>2024</v>
      </c>
      <c r="B97" s="2" t="s">
        <v>117</v>
      </c>
      <c r="C97" s="2" t="s">
        <v>118</v>
      </c>
      <c r="D97" s="2" t="s">
        <v>97</v>
      </c>
      <c r="E97" s="2" t="s">
        <v>98</v>
      </c>
      <c r="F97" s="2" t="n">
        <v>2</v>
      </c>
      <c r="G97" s="2" t="s">
        <v>25</v>
      </c>
      <c r="H97" s="2" t="s">
        <v>26</v>
      </c>
      <c r="I97" s="3"/>
      <c r="J97" s="3"/>
    </row>
    <row r="99" customFormat="false" ht="15" hidden="false" customHeight="false" outlineLevel="0" collapsed="false">
      <c r="E99" s="4" t="s">
        <v>124</v>
      </c>
      <c r="F99" s="4" t="n">
        <f aca="false">SUM(F2:F97)</f>
        <v>1087</v>
      </c>
    </row>
    <row r="100" customFormat="false" ht="15" hidden="false" customHeight="false" outlineLevel="0" collapsed="false">
      <c r="E100" s="4" t="s">
        <v>125</v>
      </c>
      <c r="F100" s="4" t="n">
        <f aca="false">COUNTA(D2:D97)</f>
        <v>96</v>
      </c>
    </row>
    <row r="101" customFormat="false" ht="15" hidden="false" customHeight="false" outlineLevel="0" collapsed="false">
      <c r="E101" s="4" t="s">
        <v>126</v>
      </c>
      <c r="F101" s="4" t="n">
        <f aca="false">COUNTA(I2:I97)</f>
        <v>0</v>
      </c>
    </row>
    <row r="103" customFormat="false" ht="15" hidden="false" customHeight="false" outlineLevel="0" collapsed="false">
      <c r="A103" s="5" t="s">
        <v>127</v>
      </c>
    </row>
    <row r="104" customFormat="false" ht="15" hidden="false" customHeight="false" outlineLevel="0" collapsed="false">
      <c r="A104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12" min="3" style="0" width="7"/>
    <col collapsed="false" customWidth="true" hidden="false" outlineLevel="0" max="13" min="13" style="0" width="9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</row>
    <row r="2" customFormat="false" ht="15" hidden="false" customHeight="false" outlineLevel="0" collapsed="false">
      <c r="A2" s="6" t="s">
        <v>13</v>
      </c>
      <c r="B2" s="6" t="s">
        <v>14</v>
      </c>
      <c r="C2" s="6" t="n">
        <f aca="false">SUMIFS('Source rows'!$F$2:$F$97,'Source rows'!$G$2:$G$97,$A2,'Source rows'!$A$2:$A$97,C$1+0)</f>
        <v>50</v>
      </c>
      <c r="D2" s="6" t="n">
        <f aca="false">SUMIFS('Source rows'!$F$2:$F$97,'Source rows'!$G$2:$G$97,$A2,'Source rows'!$A$2:$A$97,D$1+0)</f>
        <v>171</v>
      </c>
      <c r="E2" s="6" t="n">
        <f aca="false">SUMIFS('Source rows'!$F$2:$F$97,'Source rows'!$G$2:$G$97,$A2,'Source rows'!$A$2:$A$97,E$1+0)</f>
        <v>35</v>
      </c>
      <c r="F2" s="6" t="n">
        <f aca="false">SUMIFS('Source rows'!$F$2:$F$97,'Source rows'!$G$2:$G$97,$A2,'Source rows'!$A$2:$A$97,F$1+0)</f>
        <v>15</v>
      </c>
      <c r="G2" s="6" t="n">
        <f aca="false">SUMIFS('Source rows'!$F$2:$F$97,'Source rows'!$G$2:$G$97,$A2,'Source rows'!$A$2:$A$97,G$1+0)</f>
        <v>23</v>
      </c>
      <c r="H2" s="6" t="n">
        <f aca="false">SUMIFS('Source rows'!$F$2:$F$97,'Source rows'!$G$2:$G$97,$A2,'Source rows'!$A$2:$A$97,H$1+0)</f>
        <v>34</v>
      </c>
      <c r="I2" s="6" t="n">
        <f aca="false">SUMIFS('Source rows'!$F$2:$F$97,'Source rows'!$G$2:$G$97,$A2,'Source rows'!$A$2:$A$97,I$1+0)</f>
        <v>213</v>
      </c>
      <c r="J2" s="6" t="n">
        <f aca="false">SUMIFS('Source rows'!$F$2:$F$97,'Source rows'!$G$2:$G$97,$A2,'Source rows'!$A$2:$A$97,J$1+0)</f>
        <v>20</v>
      </c>
      <c r="K2" s="6" t="n">
        <f aca="false">SUMIFS('Source rows'!$F$2:$F$97,'Source rows'!$G$2:$G$97,$A2,'Source rows'!$A$2:$A$97,K$1+0)</f>
        <v>4</v>
      </c>
      <c r="L2" s="6" t="n">
        <f aca="false">SUMIFS('Source rows'!$F$2:$F$97,'Source rows'!$G$2:$G$97,$A2,'Source rows'!$A$2:$A$97,L$1+0)</f>
        <v>21</v>
      </c>
      <c r="M2" s="6" t="n">
        <f aca="false">SUM(C2:L2)</f>
        <v>586</v>
      </c>
      <c r="N2" s="6" t="n">
        <f aca="false">IF(M2=0,"never reported",_xlfn.MINIFS('Source rows'!$A$2:$A$97,'Source rows'!$G$2:$G$97,$A2,'Source rows'!$F$2:$F$97,"&gt;0"))</f>
        <v>2012</v>
      </c>
    </row>
    <row r="3" customFormat="false" ht="15" hidden="false" customHeight="false" outlineLevel="0" collapsed="false">
      <c r="A3" s="6" t="s">
        <v>25</v>
      </c>
      <c r="B3" s="6" t="s">
        <v>26</v>
      </c>
      <c r="C3" s="6" t="n">
        <f aca="false">SUMIFS('Source rows'!$F$2:$F$97,'Source rows'!$G$2:$G$97,$A3,'Source rows'!$A$2:$A$97,C$1+0)</f>
        <v>1</v>
      </c>
      <c r="D3" s="6" t="n">
        <f aca="false">SUMIFS('Source rows'!$F$2:$F$97,'Source rows'!$G$2:$G$97,$A3,'Source rows'!$A$2:$A$97,D$1+0)</f>
        <v>1</v>
      </c>
      <c r="E3" s="6" t="n">
        <f aca="false">SUMIFS('Source rows'!$F$2:$F$97,'Source rows'!$G$2:$G$97,$A3,'Source rows'!$A$2:$A$97,E$1+0)</f>
        <v>0</v>
      </c>
      <c r="F3" s="6" t="n">
        <f aca="false">SUMIFS('Source rows'!$F$2:$F$97,'Source rows'!$G$2:$G$97,$A3,'Source rows'!$A$2:$A$97,F$1+0)</f>
        <v>0</v>
      </c>
      <c r="G3" s="6" t="n">
        <f aca="false">SUMIFS('Source rows'!$F$2:$F$97,'Source rows'!$G$2:$G$97,$A3,'Source rows'!$A$2:$A$97,G$1+0)</f>
        <v>0</v>
      </c>
      <c r="H3" s="6" t="n">
        <f aca="false">SUMIFS('Source rows'!$F$2:$F$97,'Source rows'!$G$2:$G$97,$A3,'Source rows'!$A$2:$A$97,H$1+0)</f>
        <v>1</v>
      </c>
      <c r="I3" s="6" t="n">
        <f aca="false">SUMIFS('Source rows'!$F$2:$F$97,'Source rows'!$G$2:$G$97,$A3,'Source rows'!$A$2:$A$97,I$1+0)</f>
        <v>7</v>
      </c>
      <c r="J3" s="6" t="n">
        <f aca="false">SUMIFS('Source rows'!$F$2:$F$97,'Source rows'!$G$2:$G$97,$A3,'Source rows'!$A$2:$A$97,J$1+0)</f>
        <v>0</v>
      </c>
      <c r="K3" s="6" t="n">
        <f aca="false">SUMIFS('Source rows'!$F$2:$F$97,'Source rows'!$G$2:$G$97,$A3,'Source rows'!$A$2:$A$97,K$1+0)</f>
        <v>0</v>
      </c>
      <c r="L3" s="6" t="n">
        <f aca="false">SUMIFS('Source rows'!$F$2:$F$97,'Source rows'!$G$2:$G$97,$A3,'Source rows'!$A$2:$A$97,L$1+0)</f>
        <v>2</v>
      </c>
      <c r="M3" s="6" t="n">
        <f aca="false">SUM(C3:L3)</f>
        <v>12</v>
      </c>
      <c r="N3" s="6" t="n">
        <f aca="false">IF(M3=0,"never reported",_xlfn.MINIFS('Source rows'!$A$2:$A$97,'Source rows'!$G$2:$G$97,$A3,'Source rows'!$F$2:$F$97,"&gt;0"))</f>
        <v>2012</v>
      </c>
    </row>
    <row r="4" customFormat="false" ht="15" hidden="false" customHeight="false" outlineLevel="0" collapsed="false">
      <c r="A4" s="6" t="s">
        <v>16</v>
      </c>
      <c r="B4" s="6" t="s">
        <v>17</v>
      </c>
      <c r="C4" s="6" t="n">
        <f aca="false">SUMIFS('Source rows'!$F$2:$F$97,'Source rows'!$G$2:$G$97,$A4,'Source rows'!$A$2:$A$97,C$1+0)</f>
        <v>10</v>
      </c>
      <c r="D4" s="6" t="n">
        <f aca="false">SUMIFS('Source rows'!$F$2:$F$97,'Source rows'!$G$2:$G$97,$A4,'Source rows'!$A$2:$A$97,D$1+0)</f>
        <v>48</v>
      </c>
      <c r="E4" s="6" t="n">
        <f aca="false">SUMIFS('Source rows'!$F$2:$F$97,'Source rows'!$G$2:$G$97,$A4,'Source rows'!$A$2:$A$97,E$1+0)</f>
        <v>19</v>
      </c>
      <c r="F4" s="6" t="n">
        <f aca="false">SUMIFS('Source rows'!$F$2:$F$97,'Source rows'!$G$2:$G$97,$A4,'Source rows'!$A$2:$A$97,F$1+0)</f>
        <v>7</v>
      </c>
      <c r="G4" s="6" t="n">
        <f aca="false">SUMIFS('Source rows'!$F$2:$F$97,'Source rows'!$G$2:$G$97,$A4,'Source rows'!$A$2:$A$97,G$1+0)</f>
        <v>6</v>
      </c>
      <c r="H4" s="6" t="n">
        <f aca="false">SUMIFS('Source rows'!$F$2:$F$97,'Source rows'!$G$2:$G$97,$A4,'Source rows'!$A$2:$A$97,H$1+0)</f>
        <v>5</v>
      </c>
      <c r="I4" s="6" t="n">
        <f aca="false">SUMIFS('Source rows'!$F$2:$F$97,'Source rows'!$G$2:$G$97,$A4,'Source rows'!$A$2:$A$97,I$1+0)</f>
        <v>56</v>
      </c>
      <c r="J4" s="6" t="n">
        <f aca="false">SUMIFS('Source rows'!$F$2:$F$97,'Source rows'!$G$2:$G$97,$A4,'Source rows'!$A$2:$A$97,J$1+0)</f>
        <v>2</v>
      </c>
      <c r="K4" s="6" t="n">
        <f aca="false">SUMIFS('Source rows'!$F$2:$F$97,'Source rows'!$G$2:$G$97,$A4,'Source rows'!$A$2:$A$97,K$1+0)</f>
        <v>2</v>
      </c>
      <c r="L4" s="6" t="n">
        <f aca="false">SUMIFS('Source rows'!$F$2:$F$97,'Source rows'!$G$2:$G$97,$A4,'Source rows'!$A$2:$A$97,L$1+0)</f>
        <v>5</v>
      </c>
      <c r="M4" s="6" t="n">
        <f aca="false">SUM(C4:L4)</f>
        <v>160</v>
      </c>
      <c r="N4" s="6" t="n">
        <f aca="false">IF(M4=0,"never reported",_xlfn.MINIFS('Source rows'!$A$2:$A$97,'Source rows'!$G$2:$G$97,$A4,'Source rows'!$F$2:$F$97,"&gt;0"))</f>
        <v>2012</v>
      </c>
    </row>
    <row r="5" customFormat="false" ht="15" hidden="false" customHeight="false" outlineLevel="0" collapsed="false">
      <c r="A5" s="6" t="s">
        <v>35</v>
      </c>
      <c r="B5" s="6" t="s">
        <v>36</v>
      </c>
      <c r="C5" s="6" t="n">
        <f aca="false">SUMIFS('Source rows'!$F$2:$F$97,'Source rows'!$G$2:$G$97,$A5,'Source rows'!$A$2:$A$97,C$1+0)</f>
        <v>0</v>
      </c>
      <c r="D5" s="6" t="n">
        <f aca="false">SUMIFS('Source rows'!$F$2:$F$97,'Source rows'!$G$2:$G$97,$A5,'Source rows'!$A$2:$A$97,D$1+0)</f>
        <v>20</v>
      </c>
      <c r="E5" s="6" t="n">
        <f aca="false">SUMIFS('Source rows'!$F$2:$F$97,'Source rows'!$G$2:$G$97,$A5,'Source rows'!$A$2:$A$97,E$1+0)</f>
        <v>5</v>
      </c>
      <c r="F5" s="6" t="n">
        <f aca="false">SUMIFS('Source rows'!$F$2:$F$97,'Source rows'!$G$2:$G$97,$A5,'Source rows'!$A$2:$A$97,F$1+0)</f>
        <v>2</v>
      </c>
      <c r="G5" s="6" t="n">
        <f aca="false">SUMIFS('Source rows'!$F$2:$F$97,'Source rows'!$G$2:$G$97,$A5,'Source rows'!$A$2:$A$97,G$1+0)</f>
        <v>4</v>
      </c>
      <c r="H5" s="6" t="n">
        <f aca="false">SUMIFS('Source rows'!$F$2:$F$97,'Source rows'!$G$2:$G$97,$A5,'Source rows'!$A$2:$A$97,H$1+0)</f>
        <v>2</v>
      </c>
      <c r="I5" s="6" t="n">
        <f aca="false">SUMIFS('Source rows'!$F$2:$F$97,'Source rows'!$G$2:$G$97,$A5,'Source rows'!$A$2:$A$97,I$1+0)</f>
        <v>54</v>
      </c>
      <c r="J5" s="6" t="n">
        <f aca="false">SUMIFS('Source rows'!$F$2:$F$97,'Source rows'!$G$2:$G$97,$A5,'Source rows'!$A$2:$A$97,J$1+0)</f>
        <v>0</v>
      </c>
      <c r="K5" s="6" t="n">
        <f aca="false">SUMIFS('Source rows'!$F$2:$F$97,'Source rows'!$G$2:$G$97,$A5,'Source rows'!$A$2:$A$97,K$1+0)</f>
        <v>7</v>
      </c>
      <c r="L5" s="6" t="n">
        <f aca="false">SUMIFS('Source rows'!$F$2:$F$97,'Source rows'!$G$2:$G$97,$A5,'Source rows'!$A$2:$A$97,L$1+0)</f>
        <v>9</v>
      </c>
      <c r="M5" s="6" t="n">
        <f aca="false">SUM(C5:L5)</f>
        <v>103</v>
      </c>
      <c r="N5" s="6" t="n">
        <f aca="false">IF(M5=0,"never reported",_xlfn.MINIFS('Source rows'!$A$2:$A$97,'Source rows'!$G$2:$G$97,$A5,'Source rows'!$F$2:$F$97,"&gt;0"))</f>
        <v>2013</v>
      </c>
    </row>
    <row r="6" customFormat="false" ht="15" hidden="false" customHeight="false" outlineLevel="0" collapsed="false">
      <c r="A6" s="6" t="s">
        <v>60</v>
      </c>
      <c r="B6" s="6" t="s">
        <v>61</v>
      </c>
      <c r="C6" s="6" t="n">
        <f aca="false">SUMIFS('Source rows'!$F$2:$F$97,'Source rows'!$G$2:$G$97,$A6,'Source rows'!$A$2:$A$97,C$1+0)</f>
        <v>0</v>
      </c>
      <c r="D6" s="6" t="n">
        <f aca="false">SUMIFS('Source rows'!$F$2:$F$97,'Source rows'!$G$2:$G$97,$A6,'Source rows'!$A$2:$A$97,D$1+0)</f>
        <v>1</v>
      </c>
      <c r="E6" s="6" t="n">
        <f aca="false">SUMIFS('Source rows'!$F$2:$F$97,'Source rows'!$G$2:$G$97,$A6,'Source rows'!$A$2:$A$97,E$1+0)</f>
        <v>0</v>
      </c>
      <c r="F6" s="6" t="n">
        <f aca="false">SUMIFS('Source rows'!$F$2:$F$97,'Source rows'!$G$2:$G$97,$A6,'Source rows'!$A$2:$A$97,F$1+0)</f>
        <v>0</v>
      </c>
      <c r="G6" s="6" t="n">
        <f aca="false">SUMIFS('Source rows'!$F$2:$F$97,'Source rows'!$G$2:$G$97,$A6,'Source rows'!$A$2:$A$97,G$1+0)</f>
        <v>0</v>
      </c>
      <c r="H6" s="6" t="n">
        <f aca="false">SUMIFS('Source rows'!$F$2:$F$97,'Source rows'!$G$2:$G$97,$A6,'Source rows'!$A$2:$A$97,H$1+0)</f>
        <v>0</v>
      </c>
      <c r="I6" s="6" t="n">
        <f aca="false">SUMIFS('Source rows'!$F$2:$F$97,'Source rows'!$G$2:$G$97,$A6,'Source rows'!$A$2:$A$97,I$1+0)</f>
        <v>6</v>
      </c>
      <c r="J6" s="6" t="n">
        <f aca="false">SUMIFS('Source rows'!$F$2:$F$97,'Source rows'!$G$2:$G$97,$A6,'Source rows'!$A$2:$A$97,J$1+0)</f>
        <v>1</v>
      </c>
      <c r="K6" s="6" t="n">
        <f aca="false">SUMIFS('Source rows'!$F$2:$F$97,'Source rows'!$G$2:$G$97,$A6,'Source rows'!$A$2:$A$97,K$1+0)</f>
        <v>1</v>
      </c>
      <c r="L6" s="6" t="n">
        <f aca="false">SUMIFS('Source rows'!$F$2:$F$97,'Source rows'!$G$2:$G$97,$A6,'Source rows'!$A$2:$A$97,L$1+0)</f>
        <v>2</v>
      </c>
      <c r="M6" s="6" t="n">
        <f aca="false">SUM(C6:L6)</f>
        <v>11</v>
      </c>
      <c r="N6" s="6" t="n">
        <f aca="false">IF(M6=0,"never reported",_xlfn.MINIFS('Source rows'!$A$2:$A$97,'Source rows'!$G$2:$G$97,$A6,'Source rows'!$F$2:$F$97,"&gt;0"))</f>
        <v>2013</v>
      </c>
    </row>
    <row r="7" customFormat="false" ht="15" hidden="false" customHeight="false" outlineLevel="0" collapsed="false">
      <c r="A7" s="6" t="s">
        <v>57</v>
      </c>
      <c r="B7" s="6" t="s">
        <v>58</v>
      </c>
      <c r="C7" s="6" t="n">
        <f aca="false">SUMIFS('Source rows'!$F$2:$F$97,'Source rows'!$G$2:$G$97,$A7,'Source rows'!$A$2:$A$97,C$1+0)</f>
        <v>0</v>
      </c>
      <c r="D7" s="6" t="n">
        <f aca="false">SUMIFS('Source rows'!$F$2:$F$97,'Source rows'!$G$2:$G$97,$A7,'Source rows'!$A$2:$A$97,D$1+0)</f>
        <v>3</v>
      </c>
      <c r="E7" s="6" t="n">
        <f aca="false">SUMIFS('Source rows'!$F$2:$F$97,'Source rows'!$G$2:$G$97,$A7,'Source rows'!$A$2:$A$97,E$1+0)</f>
        <v>0</v>
      </c>
      <c r="F7" s="6" t="n">
        <f aca="false">SUMIFS('Source rows'!$F$2:$F$97,'Source rows'!$G$2:$G$97,$A7,'Source rows'!$A$2:$A$97,F$1+0)</f>
        <v>0</v>
      </c>
      <c r="G7" s="6" t="n">
        <f aca="false">SUMIFS('Source rows'!$F$2:$F$97,'Source rows'!$G$2:$G$97,$A7,'Source rows'!$A$2:$A$97,G$1+0)</f>
        <v>0</v>
      </c>
      <c r="H7" s="6" t="n">
        <f aca="false">SUMIFS('Source rows'!$F$2:$F$97,'Source rows'!$G$2:$G$97,$A7,'Source rows'!$A$2:$A$97,H$1+0)</f>
        <v>1</v>
      </c>
      <c r="I7" s="6" t="n">
        <f aca="false">SUMIFS('Source rows'!$F$2:$F$97,'Source rows'!$G$2:$G$97,$A7,'Source rows'!$A$2:$A$97,I$1+0)</f>
        <v>0</v>
      </c>
      <c r="J7" s="6" t="n">
        <f aca="false">SUMIFS('Source rows'!$F$2:$F$97,'Source rows'!$G$2:$G$97,$A7,'Source rows'!$A$2:$A$97,J$1+0)</f>
        <v>1</v>
      </c>
      <c r="K7" s="6" t="n">
        <f aca="false">SUMIFS('Source rows'!$F$2:$F$97,'Source rows'!$G$2:$G$97,$A7,'Source rows'!$A$2:$A$97,K$1+0)</f>
        <v>0</v>
      </c>
      <c r="L7" s="6" t="n">
        <f aca="false">SUMIFS('Source rows'!$F$2:$F$97,'Source rows'!$G$2:$G$97,$A7,'Source rows'!$A$2:$A$97,L$1+0)</f>
        <v>2</v>
      </c>
      <c r="M7" s="6" t="n">
        <f aca="false">SUM(C7:L7)</f>
        <v>7</v>
      </c>
      <c r="N7" s="6" t="n">
        <f aca="false">IF(M7=0,"never reported",_xlfn.MINIFS('Source rows'!$A$2:$A$97,'Source rows'!$G$2:$G$97,$A7,'Source rows'!$F$2:$F$97,"&gt;0"))</f>
        <v>2013</v>
      </c>
    </row>
    <row r="8" customFormat="false" ht="15" hidden="false" customHeight="false" outlineLevel="0" collapsed="false">
      <c r="A8" s="6" t="s">
        <v>63</v>
      </c>
      <c r="B8" s="6" t="s">
        <v>64</v>
      </c>
      <c r="C8" s="6" t="n">
        <f aca="false">SUMIFS('Source rows'!$F$2:$F$97,'Source rows'!$G$2:$G$97,$A8,'Source rows'!$A$2:$A$97,C$1+0)</f>
        <v>0</v>
      </c>
      <c r="D8" s="6" t="n">
        <f aca="false">SUMIFS('Source rows'!$F$2:$F$97,'Source rows'!$G$2:$G$97,$A8,'Source rows'!$A$2:$A$97,D$1+0)</f>
        <v>6</v>
      </c>
      <c r="E8" s="6" t="n">
        <f aca="false">SUMIFS('Source rows'!$F$2:$F$97,'Source rows'!$G$2:$G$97,$A8,'Source rows'!$A$2:$A$97,E$1+0)</f>
        <v>0</v>
      </c>
      <c r="F8" s="6" t="n">
        <f aca="false">SUMIFS('Source rows'!$F$2:$F$97,'Source rows'!$G$2:$G$97,$A8,'Source rows'!$A$2:$A$97,F$1+0)</f>
        <v>0</v>
      </c>
      <c r="G8" s="6" t="n">
        <f aca="false">SUMIFS('Source rows'!$F$2:$F$97,'Source rows'!$G$2:$G$97,$A8,'Source rows'!$A$2:$A$97,G$1+0)</f>
        <v>1</v>
      </c>
      <c r="H8" s="6" t="n">
        <f aca="false">SUMIFS('Source rows'!$F$2:$F$97,'Source rows'!$G$2:$G$97,$A8,'Source rows'!$A$2:$A$97,H$1+0)</f>
        <v>0</v>
      </c>
      <c r="I8" s="6" t="n">
        <f aca="false">SUMIFS('Source rows'!$F$2:$F$97,'Source rows'!$G$2:$G$97,$A8,'Source rows'!$A$2:$A$97,I$1+0)</f>
        <v>5</v>
      </c>
      <c r="J8" s="6" t="n">
        <f aca="false">SUMIFS('Source rows'!$F$2:$F$97,'Source rows'!$G$2:$G$97,$A8,'Source rows'!$A$2:$A$97,J$1+0)</f>
        <v>0</v>
      </c>
      <c r="K8" s="6" t="n">
        <f aca="false">SUMIFS('Source rows'!$F$2:$F$97,'Source rows'!$G$2:$G$97,$A8,'Source rows'!$A$2:$A$97,K$1+0)</f>
        <v>1</v>
      </c>
      <c r="L8" s="6" t="n">
        <f aca="false">SUMIFS('Source rows'!$F$2:$F$97,'Source rows'!$G$2:$G$97,$A8,'Source rows'!$A$2:$A$97,L$1+0)</f>
        <v>3</v>
      </c>
      <c r="M8" s="6" t="n">
        <f aca="false">SUM(C8:L8)</f>
        <v>16</v>
      </c>
      <c r="N8" s="6" t="n">
        <f aca="false">IF(M8=0,"never reported",_xlfn.MINIFS('Source rows'!$A$2:$A$97,'Source rows'!$G$2:$G$97,$A8,'Source rows'!$F$2:$F$97,"&gt;0"))</f>
        <v>2013</v>
      </c>
    </row>
    <row r="9" customFormat="false" ht="15" hidden="false" customHeight="false" outlineLevel="0" collapsed="false">
      <c r="A9" s="6" t="s">
        <v>19</v>
      </c>
      <c r="B9" s="6" t="s">
        <v>20</v>
      </c>
      <c r="C9" s="6" t="n">
        <f aca="false">SUMIFS('Source rows'!$F$2:$F$97,'Source rows'!$G$2:$G$97,$A9,'Source rows'!$A$2:$A$97,C$1+0)</f>
        <v>6</v>
      </c>
      <c r="D9" s="6" t="n">
        <f aca="false">SUMIFS('Source rows'!$F$2:$F$97,'Source rows'!$G$2:$G$97,$A9,'Source rows'!$A$2:$A$97,D$1+0)</f>
        <v>11</v>
      </c>
      <c r="E9" s="6" t="n">
        <f aca="false">SUMIFS('Source rows'!$F$2:$F$97,'Source rows'!$G$2:$G$97,$A9,'Source rows'!$A$2:$A$97,E$1+0)</f>
        <v>6</v>
      </c>
      <c r="F9" s="6" t="n">
        <f aca="false">SUMIFS('Source rows'!$F$2:$F$97,'Source rows'!$G$2:$G$97,$A9,'Source rows'!$A$2:$A$97,F$1+0)</f>
        <v>1</v>
      </c>
      <c r="G9" s="6" t="n">
        <f aca="false">SUMIFS('Source rows'!$F$2:$F$97,'Source rows'!$G$2:$G$97,$A9,'Source rows'!$A$2:$A$97,G$1+0)</f>
        <v>1</v>
      </c>
      <c r="H9" s="6" t="n">
        <f aca="false">SUMIFS('Source rows'!$F$2:$F$97,'Source rows'!$G$2:$G$97,$A9,'Source rows'!$A$2:$A$97,H$1+0)</f>
        <v>0</v>
      </c>
      <c r="I9" s="6" t="n">
        <f aca="false">SUMIFS('Source rows'!$F$2:$F$97,'Source rows'!$G$2:$G$97,$A9,'Source rows'!$A$2:$A$97,I$1+0)</f>
        <v>14</v>
      </c>
      <c r="J9" s="6" t="n">
        <f aca="false">SUMIFS('Source rows'!$F$2:$F$97,'Source rows'!$G$2:$G$97,$A9,'Source rows'!$A$2:$A$97,J$1+0)</f>
        <v>0</v>
      </c>
      <c r="K9" s="6" t="n">
        <f aca="false">SUMIFS('Source rows'!$F$2:$F$97,'Source rows'!$G$2:$G$97,$A9,'Source rows'!$A$2:$A$97,K$1+0)</f>
        <v>3</v>
      </c>
      <c r="L9" s="6" t="n">
        <f aca="false">SUMIFS('Source rows'!$F$2:$F$97,'Source rows'!$G$2:$G$97,$A9,'Source rows'!$A$2:$A$97,L$1+0)</f>
        <v>3</v>
      </c>
      <c r="M9" s="6" t="n">
        <f aca="false">SUM(C9:L9)</f>
        <v>45</v>
      </c>
      <c r="N9" s="6" t="n">
        <f aca="false">IF(M9=0,"never reported",_xlfn.MINIFS('Source rows'!$A$2:$A$97,'Source rows'!$G$2:$G$97,$A9,'Source rows'!$F$2:$F$97,"&gt;0"))</f>
        <v>2012</v>
      </c>
    </row>
    <row r="10" customFormat="false" ht="15" hidden="false" customHeight="false" outlineLevel="0" collapsed="false">
      <c r="A10" s="6" t="s">
        <v>68</v>
      </c>
      <c r="B10" s="6" t="s">
        <v>69</v>
      </c>
      <c r="C10" s="6" t="n">
        <f aca="false">SUMIFS('Source rows'!$F$2:$F$97,'Source rows'!$G$2:$G$97,$A10,'Source rows'!$A$2:$A$97,C$1+0)</f>
        <v>0</v>
      </c>
      <c r="D10" s="6" t="n">
        <f aca="false">SUMIFS('Source rows'!$F$2:$F$97,'Source rows'!$G$2:$G$97,$A10,'Source rows'!$A$2:$A$97,D$1+0)</f>
        <v>1</v>
      </c>
      <c r="E10" s="6" t="n">
        <f aca="false">SUMIFS('Source rows'!$F$2:$F$97,'Source rows'!$G$2:$G$97,$A10,'Source rows'!$A$2:$A$97,E$1+0)</f>
        <v>0</v>
      </c>
      <c r="F10" s="6" t="n">
        <f aca="false">SUMIFS('Source rows'!$F$2:$F$97,'Source rows'!$G$2:$G$97,$A10,'Source rows'!$A$2:$A$97,F$1+0)</f>
        <v>0</v>
      </c>
      <c r="G10" s="6" t="n">
        <f aca="false">SUMIFS('Source rows'!$F$2:$F$97,'Source rows'!$G$2:$G$97,$A10,'Source rows'!$A$2:$A$97,G$1+0)</f>
        <v>0</v>
      </c>
      <c r="H10" s="6" t="n">
        <f aca="false">SUMIFS('Source rows'!$F$2:$F$97,'Source rows'!$G$2:$G$97,$A10,'Source rows'!$A$2:$A$97,H$1+0)</f>
        <v>0</v>
      </c>
      <c r="I10" s="6" t="n">
        <f aca="false">SUMIFS('Source rows'!$F$2:$F$97,'Source rows'!$G$2:$G$97,$A10,'Source rows'!$A$2:$A$97,I$1+0)</f>
        <v>2</v>
      </c>
      <c r="J10" s="6" t="n">
        <f aca="false">SUMIFS('Source rows'!$F$2:$F$97,'Source rows'!$G$2:$G$97,$A10,'Source rows'!$A$2:$A$97,J$1+0)</f>
        <v>0</v>
      </c>
      <c r="K10" s="6" t="n">
        <f aca="false">SUMIFS('Source rows'!$F$2:$F$97,'Source rows'!$G$2:$G$97,$A10,'Source rows'!$A$2:$A$97,K$1+0)</f>
        <v>0</v>
      </c>
      <c r="L10" s="6" t="n">
        <f aca="false">SUMIFS('Source rows'!$F$2:$F$97,'Source rows'!$G$2:$G$97,$A10,'Source rows'!$A$2:$A$97,L$1+0)</f>
        <v>0</v>
      </c>
      <c r="M10" s="6" t="n">
        <f aca="false">SUM(C10:L10)</f>
        <v>3</v>
      </c>
      <c r="N10" s="6" t="n">
        <f aca="false">IF(M10=0,"never reported",_xlfn.MINIFS('Source rows'!$A$2:$A$97,'Source rows'!$G$2:$G$97,$A10,'Source rows'!$F$2:$F$97,"&gt;0"))</f>
        <v>2013</v>
      </c>
    </row>
    <row r="11" customFormat="false" ht="15" hidden="false" customHeight="false" outlineLevel="0" collapsed="false">
      <c r="A11" s="6" t="s">
        <v>39</v>
      </c>
      <c r="B11" s="6" t="s">
        <v>40</v>
      </c>
      <c r="C11" s="6" t="n">
        <f aca="false">SUMIFS('Source rows'!$F$2:$F$97,'Source rows'!$G$2:$G$97,$A11,'Source rows'!$A$2:$A$97,C$1+0)</f>
        <v>0</v>
      </c>
      <c r="D11" s="6" t="n">
        <f aca="false">SUMIFS('Source rows'!$F$2:$F$97,'Source rows'!$G$2:$G$97,$A11,'Source rows'!$A$2:$A$97,D$1+0)</f>
        <v>10</v>
      </c>
      <c r="E11" s="6" t="n">
        <f aca="false">SUMIFS('Source rows'!$F$2:$F$97,'Source rows'!$G$2:$G$97,$A11,'Source rows'!$A$2:$A$97,E$1+0)</f>
        <v>4</v>
      </c>
      <c r="F11" s="6" t="n">
        <f aca="false">SUMIFS('Source rows'!$F$2:$F$97,'Source rows'!$G$2:$G$97,$A11,'Source rows'!$A$2:$A$97,F$1+0)</f>
        <v>1</v>
      </c>
      <c r="G11" s="6" t="n">
        <f aca="false">SUMIFS('Source rows'!$F$2:$F$97,'Source rows'!$G$2:$G$97,$A11,'Source rows'!$A$2:$A$97,G$1+0)</f>
        <v>0</v>
      </c>
      <c r="H11" s="6" t="n">
        <f aca="false">SUMIFS('Source rows'!$F$2:$F$97,'Source rows'!$G$2:$G$97,$A11,'Source rows'!$A$2:$A$97,H$1+0)</f>
        <v>0</v>
      </c>
      <c r="I11" s="6" t="n">
        <f aca="false">SUMIFS('Source rows'!$F$2:$F$97,'Source rows'!$G$2:$G$97,$A11,'Source rows'!$A$2:$A$97,I$1+0)</f>
        <v>8</v>
      </c>
      <c r="J11" s="6" t="n">
        <f aca="false">SUMIFS('Source rows'!$F$2:$F$97,'Source rows'!$G$2:$G$97,$A11,'Source rows'!$A$2:$A$97,J$1+0)</f>
        <v>1</v>
      </c>
      <c r="K11" s="6" t="n">
        <f aca="false">SUMIFS('Source rows'!$F$2:$F$97,'Source rows'!$G$2:$G$97,$A11,'Source rows'!$A$2:$A$97,K$1+0)</f>
        <v>0</v>
      </c>
      <c r="L11" s="6" t="n">
        <f aca="false">SUMIFS('Source rows'!$F$2:$F$97,'Source rows'!$G$2:$G$97,$A11,'Source rows'!$A$2:$A$97,L$1+0)</f>
        <v>0</v>
      </c>
      <c r="M11" s="6" t="n">
        <f aca="false">SUM(C11:L11)</f>
        <v>24</v>
      </c>
      <c r="N11" s="6" t="n">
        <f aca="false">IF(M11=0,"never reported",_xlfn.MINIFS('Source rows'!$A$2:$A$97,'Source rows'!$G$2:$G$97,$A11,'Source rows'!$F$2:$F$97,"&gt;0"))</f>
        <v>2013</v>
      </c>
    </row>
    <row r="12" customFormat="false" ht="15" hidden="false" customHeight="false" outlineLevel="0" collapsed="false">
      <c r="A12" s="6" t="s">
        <v>42</v>
      </c>
      <c r="B12" s="6" t="s">
        <v>43</v>
      </c>
      <c r="C12" s="6" t="n">
        <f aca="false">SUMIFS('Source rows'!$F$2:$F$97,'Source rows'!$G$2:$G$97,$A12,'Source rows'!$A$2:$A$97,C$1+0)</f>
        <v>0</v>
      </c>
      <c r="D12" s="6" t="n">
        <f aca="false">SUMIFS('Source rows'!$F$2:$F$97,'Source rows'!$G$2:$G$97,$A12,'Source rows'!$A$2:$A$97,D$1+0)</f>
        <v>6</v>
      </c>
      <c r="E12" s="6" t="n">
        <f aca="false">SUMIFS('Source rows'!$F$2:$F$97,'Source rows'!$G$2:$G$97,$A12,'Source rows'!$A$2:$A$97,E$1+0)</f>
        <v>0</v>
      </c>
      <c r="F12" s="6" t="n">
        <f aca="false">SUMIFS('Source rows'!$F$2:$F$97,'Source rows'!$G$2:$G$97,$A12,'Source rows'!$A$2:$A$97,F$1+0)</f>
        <v>1</v>
      </c>
      <c r="G12" s="6" t="n">
        <f aca="false">SUMIFS('Source rows'!$F$2:$F$97,'Source rows'!$G$2:$G$97,$A12,'Source rows'!$A$2:$A$97,G$1+0)</f>
        <v>1</v>
      </c>
      <c r="H12" s="6" t="n">
        <f aca="false">SUMIFS('Source rows'!$F$2:$F$97,'Source rows'!$G$2:$G$97,$A12,'Source rows'!$A$2:$A$97,H$1+0)</f>
        <v>0</v>
      </c>
      <c r="I12" s="6" t="n">
        <f aca="false">SUMIFS('Source rows'!$F$2:$F$97,'Source rows'!$G$2:$G$97,$A12,'Source rows'!$A$2:$A$97,I$1+0)</f>
        <v>1</v>
      </c>
      <c r="J12" s="6" t="n">
        <f aca="false">SUMIFS('Source rows'!$F$2:$F$97,'Source rows'!$G$2:$G$97,$A12,'Source rows'!$A$2:$A$97,J$1+0)</f>
        <v>0</v>
      </c>
      <c r="K12" s="6" t="n">
        <f aca="false">SUMIFS('Source rows'!$F$2:$F$97,'Source rows'!$G$2:$G$97,$A12,'Source rows'!$A$2:$A$97,K$1+0)</f>
        <v>0</v>
      </c>
      <c r="L12" s="6" t="n">
        <f aca="false">SUMIFS('Source rows'!$F$2:$F$97,'Source rows'!$G$2:$G$97,$A12,'Source rows'!$A$2:$A$97,L$1+0)</f>
        <v>4</v>
      </c>
      <c r="M12" s="6" t="n">
        <f aca="false">SUM(C12:L12)</f>
        <v>13</v>
      </c>
      <c r="N12" s="6" t="n">
        <f aca="false">IF(M12=0,"never reported",_xlfn.MINIFS('Source rows'!$A$2:$A$97,'Source rows'!$G$2:$G$97,$A12,'Source rows'!$F$2:$F$97,"&gt;0"))</f>
        <v>2013</v>
      </c>
    </row>
    <row r="13" customFormat="false" ht="15" hidden="false" customHeight="false" outlineLevel="0" collapsed="false">
      <c r="A13" s="6" t="s">
        <v>45</v>
      </c>
      <c r="B13" s="6" t="s">
        <v>46</v>
      </c>
      <c r="C13" s="6" t="n">
        <f aca="false">SUMIFS('Source rows'!$F$2:$F$97,'Source rows'!$G$2:$G$97,$A13,'Source rows'!$A$2:$A$97,C$1+0)</f>
        <v>0</v>
      </c>
      <c r="D13" s="6" t="n">
        <f aca="false">SUMIFS('Source rows'!$F$2:$F$97,'Source rows'!$G$2:$G$97,$A13,'Source rows'!$A$2:$A$97,D$1+0)</f>
        <v>2</v>
      </c>
      <c r="E13" s="6" t="n">
        <f aca="false">SUMIFS('Source rows'!$F$2:$F$97,'Source rows'!$G$2:$G$97,$A13,'Source rows'!$A$2:$A$97,E$1+0)</f>
        <v>0</v>
      </c>
      <c r="F13" s="6" t="n">
        <f aca="false">SUMIFS('Source rows'!$F$2:$F$97,'Source rows'!$G$2:$G$97,$A13,'Source rows'!$A$2:$A$97,F$1+0)</f>
        <v>0</v>
      </c>
      <c r="G13" s="6" t="n">
        <f aca="false">SUMIFS('Source rows'!$F$2:$F$97,'Source rows'!$G$2:$G$97,$A13,'Source rows'!$A$2:$A$97,G$1+0)</f>
        <v>0</v>
      </c>
      <c r="H13" s="6" t="n">
        <f aca="false">SUMIFS('Source rows'!$F$2:$F$97,'Source rows'!$G$2:$G$97,$A13,'Source rows'!$A$2:$A$97,H$1+0)</f>
        <v>0</v>
      </c>
      <c r="I13" s="6" t="n">
        <f aca="false">SUMIFS('Source rows'!$F$2:$F$97,'Source rows'!$G$2:$G$97,$A13,'Source rows'!$A$2:$A$97,I$1+0)</f>
        <v>0</v>
      </c>
      <c r="J13" s="6" t="n">
        <f aca="false">SUMIFS('Source rows'!$F$2:$F$97,'Source rows'!$G$2:$G$97,$A13,'Source rows'!$A$2:$A$97,J$1+0)</f>
        <v>0</v>
      </c>
      <c r="K13" s="6" t="n">
        <f aca="false">SUMIFS('Source rows'!$F$2:$F$97,'Source rows'!$G$2:$G$97,$A13,'Source rows'!$A$2:$A$97,K$1+0)</f>
        <v>0</v>
      </c>
      <c r="L13" s="6" t="n">
        <f aca="false">SUMIFS('Source rows'!$F$2:$F$97,'Source rows'!$G$2:$G$97,$A13,'Source rows'!$A$2:$A$97,L$1+0)</f>
        <v>0</v>
      </c>
      <c r="M13" s="6" t="n">
        <f aca="false">SUM(C13:L13)</f>
        <v>2</v>
      </c>
      <c r="N13" s="6" t="n">
        <f aca="false">IF(M13=0,"never reported",_xlfn.MINIFS('Source rows'!$A$2:$A$97,'Source rows'!$G$2:$G$97,$A13,'Source rows'!$F$2:$F$97,"&gt;0"))</f>
        <v>2013</v>
      </c>
    </row>
    <row r="14" customFormat="false" ht="15" hidden="false" customHeight="false" outlineLevel="0" collapsed="false">
      <c r="A14" s="6" t="s">
        <v>51</v>
      </c>
      <c r="B14" s="6" t="s">
        <v>52</v>
      </c>
      <c r="C14" s="6" t="n">
        <f aca="false">SUMIFS('Source rows'!$F$2:$F$97,'Source rows'!$G$2:$G$97,$A14,'Source rows'!$A$2:$A$97,C$1+0)</f>
        <v>0</v>
      </c>
      <c r="D14" s="6" t="n">
        <f aca="false">SUMIFS('Source rows'!$F$2:$F$97,'Source rows'!$G$2:$G$97,$A14,'Source rows'!$A$2:$A$97,D$1+0)</f>
        <v>1</v>
      </c>
      <c r="E14" s="6" t="n">
        <f aca="false">SUMIFS('Source rows'!$F$2:$F$97,'Source rows'!$G$2:$G$97,$A14,'Source rows'!$A$2:$A$97,E$1+0)</f>
        <v>0</v>
      </c>
      <c r="F14" s="6" t="n">
        <f aca="false">SUMIFS('Source rows'!$F$2:$F$97,'Source rows'!$G$2:$G$97,$A14,'Source rows'!$A$2:$A$97,F$1+0)</f>
        <v>0</v>
      </c>
      <c r="G14" s="6" t="n">
        <f aca="false">SUMIFS('Source rows'!$F$2:$F$97,'Source rows'!$G$2:$G$97,$A14,'Source rows'!$A$2:$A$97,G$1+0)</f>
        <v>0</v>
      </c>
      <c r="H14" s="6" t="n">
        <f aca="false">SUMIFS('Source rows'!$F$2:$F$97,'Source rows'!$G$2:$G$97,$A14,'Source rows'!$A$2:$A$97,H$1+0)</f>
        <v>0</v>
      </c>
      <c r="I14" s="6" t="n">
        <f aca="false">SUMIFS('Source rows'!$F$2:$F$97,'Source rows'!$G$2:$G$97,$A14,'Source rows'!$A$2:$A$97,I$1+0)</f>
        <v>3</v>
      </c>
      <c r="J14" s="6" t="n">
        <f aca="false">SUMIFS('Source rows'!$F$2:$F$97,'Source rows'!$G$2:$G$97,$A14,'Source rows'!$A$2:$A$97,J$1+0)</f>
        <v>0</v>
      </c>
      <c r="K14" s="6" t="n">
        <f aca="false">SUMIFS('Source rows'!$F$2:$F$97,'Source rows'!$G$2:$G$97,$A14,'Source rows'!$A$2:$A$97,K$1+0)</f>
        <v>0</v>
      </c>
      <c r="L14" s="6" t="n">
        <f aca="false">SUMIFS('Source rows'!$F$2:$F$97,'Source rows'!$G$2:$G$97,$A14,'Source rows'!$A$2:$A$97,L$1+0)</f>
        <v>1</v>
      </c>
      <c r="M14" s="6" t="n">
        <f aca="false">SUM(C14:L14)</f>
        <v>5</v>
      </c>
      <c r="N14" s="6" t="n">
        <f aca="false">IF(M14=0,"never reported",_xlfn.MINIFS('Source rows'!$A$2:$A$97,'Source rows'!$G$2:$G$97,$A14,'Source rows'!$F$2:$F$97,"&gt;0"))</f>
        <v>2013</v>
      </c>
    </row>
    <row r="15" customFormat="false" ht="15" hidden="false" customHeight="false" outlineLevel="0" collapsed="false">
      <c r="A15" s="6" t="s">
        <v>54</v>
      </c>
      <c r="B15" s="6" t="s">
        <v>55</v>
      </c>
      <c r="C15" s="6" t="n">
        <f aca="false">SUMIFS('Source rows'!$F$2:$F$97,'Source rows'!$G$2:$G$97,$A15,'Source rows'!$A$2:$A$97,C$1+0)</f>
        <v>0</v>
      </c>
      <c r="D15" s="6" t="n">
        <f aca="false">SUMIFS('Source rows'!$F$2:$F$97,'Source rows'!$G$2:$G$97,$A15,'Source rows'!$A$2:$A$97,D$1+0)</f>
        <v>1</v>
      </c>
      <c r="E15" s="6" t="n">
        <f aca="false">SUMIFS('Source rows'!$F$2:$F$97,'Source rows'!$G$2:$G$97,$A15,'Source rows'!$A$2:$A$97,E$1+0)</f>
        <v>0</v>
      </c>
      <c r="F15" s="6" t="n">
        <f aca="false">SUMIFS('Source rows'!$F$2:$F$97,'Source rows'!$G$2:$G$97,$A15,'Source rows'!$A$2:$A$97,F$1+0)</f>
        <v>0</v>
      </c>
      <c r="G15" s="6" t="n">
        <f aca="false">SUMIFS('Source rows'!$F$2:$F$97,'Source rows'!$G$2:$G$97,$A15,'Source rows'!$A$2:$A$97,G$1+0)</f>
        <v>0</v>
      </c>
      <c r="H15" s="6" t="n">
        <f aca="false">SUMIFS('Source rows'!$F$2:$F$97,'Source rows'!$G$2:$G$97,$A15,'Source rows'!$A$2:$A$97,H$1+0)</f>
        <v>0</v>
      </c>
      <c r="I15" s="6" t="n">
        <f aca="false">SUMIFS('Source rows'!$F$2:$F$97,'Source rows'!$G$2:$G$97,$A15,'Source rows'!$A$2:$A$97,I$1+0)</f>
        <v>1</v>
      </c>
      <c r="J15" s="6" t="n">
        <f aca="false">SUMIFS('Source rows'!$F$2:$F$97,'Source rows'!$G$2:$G$97,$A15,'Source rows'!$A$2:$A$97,J$1+0)</f>
        <v>0</v>
      </c>
      <c r="K15" s="6" t="n">
        <f aca="false">SUMIFS('Source rows'!$F$2:$F$97,'Source rows'!$G$2:$G$97,$A15,'Source rows'!$A$2:$A$97,K$1+0)</f>
        <v>0</v>
      </c>
      <c r="L15" s="6" t="n">
        <f aca="false">SUMIFS('Source rows'!$F$2:$F$97,'Source rows'!$G$2:$G$97,$A15,'Source rows'!$A$2:$A$97,L$1+0)</f>
        <v>0</v>
      </c>
      <c r="M15" s="6" t="n">
        <f aca="false">SUM(C15:L15)</f>
        <v>2</v>
      </c>
      <c r="N15" s="6" t="n">
        <f aca="false">IF(M15=0,"never reported",_xlfn.MINIFS('Source rows'!$A$2:$A$97,'Source rows'!$G$2:$G$97,$A15,'Source rows'!$F$2:$F$97,"&gt;0"))</f>
        <v>2013</v>
      </c>
    </row>
    <row r="16" customFormat="false" ht="15" hidden="false" customHeight="false" outlineLevel="0" collapsed="false">
      <c r="A16" s="6" t="s">
        <v>75</v>
      </c>
      <c r="B16" s="6" t="s">
        <v>76</v>
      </c>
      <c r="C16" s="6" t="n">
        <f aca="false">SUMIFS('Source rows'!$F$2:$F$97,'Source rows'!$G$2:$G$97,$A16,'Source rows'!$A$2:$A$97,C$1+0)</f>
        <v>0</v>
      </c>
      <c r="D16" s="6" t="n">
        <f aca="false">SUMIFS('Source rows'!$F$2:$F$97,'Source rows'!$G$2:$G$97,$A16,'Source rows'!$A$2:$A$97,D$1+0)</f>
        <v>0</v>
      </c>
      <c r="E16" s="6" t="n">
        <f aca="false">SUMIFS('Source rows'!$F$2:$F$97,'Source rows'!$G$2:$G$97,$A16,'Source rows'!$A$2:$A$97,E$1+0)</f>
        <v>1</v>
      </c>
      <c r="F16" s="6" t="n">
        <f aca="false">SUMIFS('Source rows'!$F$2:$F$97,'Source rows'!$G$2:$G$97,$A16,'Source rows'!$A$2:$A$97,F$1+0)</f>
        <v>0</v>
      </c>
      <c r="G16" s="6" t="n">
        <f aca="false">SUMIFS('Source rows'!$F$2:$F$97,'Source rows'!$G$2:$G$97,$A16,'Source rows'!$A$2:$A$97,G$1+0)</f>
        <v>0</v>
      </c>
      <c r="H16" s="6" t="n">
        <f aca="false">SUMIFS('Source rows'!$F$2:$F$97,'Source rows'!$G$2:$G$97,$A16,'Source rows'!$A$2:$A$97,H$1+0)</f>
        <v>0</v>
      </c>
      <c r="I16" s="6" t="n">
        <f aca="false">SUMIFS('Source rows'!$F$2:$F$97,'Source rows'!$G$2:$G$97,$A16,'Source rows'!$A$2:$A$97,I$1+0)</f>
        <v>1</v>
      </c>
      <c r="J16" s="6" t="n">
        <f aca="false">SUMIFS('Source rows'!$F$2:$F$97,'Source rows'!$G$2:$G$97,$A16,'Source rows'!$A$2:$A$97,J$1+0)</f>
        <v>0</v>
      </c>
      <c r="K16" s="6" t="n">
        <f aca="false">SUMIFS('Source rows'!$F$2:$F$97,'Source rows'!$G$2:$G$97,$A16,'Source rows'!$A$2:$A$97,K$1+0)</f>
        <v>0</v>
      </c>
      <c r="L16" s="6" t="n">
        <f aca="false">SUMIFS('Source rows'!$F$2:$F$97,'Source rows'!$G$2:$G$97,$A16,'Source rows'!$A$2:$A$97,L$1+0)</f>
        <v>1</v>
      </c>
      <c r="M16" s="6" t="n">
        <f aca="false">SUM(C16:L16)</f>
        <v>3</v>
      </c>
      <c r="N16" s="6" t="n">
        <f aca="false">IF(M16=0,"never reported",_xlfn.MINIFS('Source rows'!$A$2:$A$97,'Source rows'!$G$2:$G$97,$A16,'Source rows'!$F$2:$F$97,"&gt;0"))</f>
        <v>2014</v>
      </c>
    </row>
    <row r="17" customFormat="false" ht="15" hidden="false" customHeight="false" outlineLevel="0" collapsed="false">
      <c r="A17" s="6" t="s">
        <v>22</v>
      </c>
      <c r="B17" s="6" t="s">
        <v>23</v>
      </c>
      <c r="C17" s="6" t="n">
        <f aca="false">SUMIFS('Source rows'!$F$2:$F$97,'Source rows'!$G$2:$G$97,$A17,'Source rows'!$A$2:$A$97,C$1+0)</f>
        <v>1</v>
      </c>
      <c r="D17" s="6" t="n">
        <f aca="false">SUMIFS('Source rows'!$F$2:$F$97,'Source rows'!$G$2:$G$97,$A17,'Source rows'!$A$2:$A$97,D$1+0)</f>
        <v>1</v>
      </c>
      <c r="E17" s="6" t="n">
        <f aca="false">SUMIFS('Source rows'!$F$2:$F$97,'Source rows'!$G$2:$G$97,$A17,'Source rows'!$A$2:$A$97,E$1+0)</f>
        <v>1</v>
      </c>
      <c r="F17" s="6" t="n">
        <f aca="false">SUMIFS('Source rows'!$F$2:$F$97,'Source rows'!$G$2:$G$97,$A17,'Source rows'!$A$2:$A$97,F$1+0)</f>
        <v>0</v>
      </c>
      <c r="G17" s="6" t="n">
        <f aca="false">SUMIFS('Source rows'!$F$2:$F$97,'Source rows'!$G$2:$G$97,$A17,'Source rows'!$A$2:$A$97,G$1+0)</f>
        <v>0</v>
      </c>
      <c r="H17" s="6" t="n">
        <f aca="false">SUMIFS('Source rows'!$F$2:$F$97,'Source rows'!$G$2:$G$97,$A17,'Source rows'!$A$2:$A$97,H$1+0)</f>
        <v>0</v>
      </c>
      <c r="I17" s="6" t="n">
        <f aca="false">SUMIFS('Source rows'!$F$2:$F$97,'Source rows'!$G$2:$G$97,$A17,'Source rows'!$A$2:$A$97,I$1+0)</f>
        <v>2</v>
      </c>
      <c r="J17" s="6" t="n">
        <f aca="false">SUMIFS('Source rows'!$F$2:$F$97,'Source rows'!$G$2:$G$97,$A17,'Source rows'!$A$2:$A$97,J$1+0)</f>
        <v>0</v>
      </c>
      <c r="K17" s="6" t="n">
        <f aca="false">SUMIFS('Source rows'!$F$2:$F$97,'Source rows'!$G$2:$G$97,$A17,'Source rows'!$A$2:$A$97,K$1+0)</f>
        <v>0</v>
      </c>
      <c r="L17" s="6" t="n">
        <f aca="false">SUMIFS('Source rows'!$F$2:$F$97,'Source rows'!$G$2:$G$97,$A17,'Source rows'!$A$2:$A$97,L$1+0)</f>
        <v>4</v>
      </c>
      <c r="M17" s="6" t="n">
        <f aca="false">SUM(C17:L17)</f>
        <v>9</v>
      </c>
      <c r="N17" s="6" t="n">
        <f aca="false">IF(M17=0,"never reported",_xlfn.MINIFS('Source rows'!$A$2:$A$97,'Source rows'!$G$2:$G$97,$A17,'Source rows'!$F$2:$F$97,"&gt;0"))</f>
        <v>2012</v>
      </c>
    </row>
    <row r="18" customFormat="false" ht="15" hidden="false" customHeight="false" outlineLevel="0" collapsed="false">
      <c r="A18" s="6" t="s">
        <v>101</v>
      </c>
      <c r="B18" s="6" t="s">
        <v>102</v>
      </c>
      <c r="C18" s="6" t="n">
        <f aca="false">SUMIFS('Source rows'!$F$2:$F$97,'Source rows'!$G$2:$G$97,$A18,'Source rows'!$A$2:$A$97,C$1+0)</f>
        <v>0</v>
      </c>
      <c r="D18" s="6" t="n">
        <f aca="false">SUMIFS('Source rows'!$F$2:$F$97,'Source rows'!$G$2:$G$97,$A18,'Source rows'!$A$2:$A$97,D$1+0)</f>
        <v>0</v>
      </c>
      <c r="E18" s="6" t="n">
        <f aca="false">SUMIFS('Source rows'!$F$2:$F$97,'Source rows'!$G$2:$G$97,$A18,'Source rows'!$A$2:$A$97,E$1+0)</f>
        <v>0</v>
      </c>
      <c r="F18" s="6" t="n">
        <f aca="false">SUMIFS('Source rows'!$F$2:$F$97,'Source rows'!$G$2:$G$97,$A18,'Source rows'!$A$2:$A$97,F$1+0)</f>
        <v>0</v>
      </c>
      <c r="G18" s="6" t="n">
        <f aca="false">SUMIFS('Source rows'!$F$2:$F$97,'Source rows'!$G$2:$G$97,$A18,'Source rows'!$A$2:$A$97,G$1+0)</f>
        <v>0</v>
      </c>
      <c r="H18" s="6" t="n">
        <f aca="false">SUMIFS('Source rows'!$F$2:$F$97,'Source rows'!$G$2:$G$97,$A18,'Source rows'!$A$2:$A$97,H$1+0)</f>
        <v>0</v>
      </c>
      <c r="I18" s="6" t="n">
        <f aca="false">SUMIFS('Source rows'!$F$2:$F$97,'Source rows'!$G$2:$G$97,$A18,'Source rows'!$A$2:$A$97,I$1+0)</f>
        <v>1</v>
      </c>
      <c r="J18" s="6" t="n">
        <f aca="false">SUMIFS('Source rows'!$F$2:$F$97,'Source rows'!$G$2:$G$97,$A18,'Source rows'!$A$2:$A$97,J$1+0)</f>
        <v>0</v>
      </c>
      <c r="K18" s="6" t="n">
        <f aca="false">SUMIFS('Source rows'!$F$2:$F$97,'Source rows'!$G$2:$G$97,$A18,'Source rows'!$A$2:$A$97,K$1+0)</f>
        <v>0</v>
      </c>
      <c r="L18" s="6" t="n">
        <f aca="false">SUMIFS('Source rows'!$F$2:$F$97,'Source rows'!$G$2:$G$97,$A18,'Source rows'!$A$2:$A$97,L$1+0)</f>
        <v>0</v>
      </c>
      <c r="M18" s="6" t="n">
        <f aca="false">SUM(C18:L18)</f>
        <v>1</v>
      </c>
      <c r="N18" s="6" t="n">
        <f aca="false">IF(M18=0,"never reported",_xlfn.MINIFS('Source rows'!$A$2:$A$97,'Source rows'!$G$2:$G$97,$A18,'Source rows'!$F$2:$F$97,"&gt;0"))</f>
        <v>2018</v>
      </c>
    </row>
    <row r="19" customFormat="false" ht="15" hidden="false" customHeight="false" outlineLevel="0" collapsed="false">
      <c r="A19" s="6" t="s">
        <v>29</v>
      </c>
      <c r="B19" s="6" t="s">
        <v>30</v>
      </c>
      <c r="C19" s="6" t="n">
        <f aca="false">SUMIFS('Source rows'!$F$2:$F$97,'Source rows'!$G$2:$G$97,$A19,'Source rows'!$A$2:$A$97,C$1+0)</f>
        <v>0</v>
      </c>
      <c r="D19" s="6" t="n">
        <f aca="false">SUMIFS('Source rows'!$F$2:$F$97,'Source rows'!$G$2:$G$97,$A19,'Source rows'!$A$2:$A$97,D$1+0)</f>
        <v>3</v>
      </c>
      <c r="E19" s="6" t="n">
        <f aca="false">SUMIFS('Source rows'!$F$2:$F$97,'Source rows'!$G$2:$G$97,$A19,'Source rows'!$A$2:$A$97,E$1+0)</f>
        <v>0</v>
      </c>
      <c r="F19" s="6" t="n">
        <f aca="false">SUMIFS('Source rows'!$F$2:$F$97,'Source rows'!$G$2:$G$97,$A19,'Source rows'!$A$2:$A$97,F$1+0)</f>
        <v>0</v>
      </c>
      <c r="G19" s="6" t="n">
        <f aca="false">SUMIFS('Source rows'!$F$2:$F$97,'Source rows'!$G$2:$G$97,$A19,'Source rows'!$A$2:$A$97,G$1+0)</f>
        <v>0</v>
      </c>
      <c r="H19" s="6" t="n">
        <f aca="false">SUMIFS('Source rows'!$F$2:$F$97,'Source rows'!$G$2:$G$97,$A19,'Source rows'!$A$2:$A$97,H$1+0)</f>
        <v>0</v>
      </c>
      <c r="I19" s="6" t="n">
        <f aca="false">SUMIFS('Source rows'!$F$2:$F$97,'Source rows'!$G$2:$G$97,$A19,'Source rows'!$A$2:$A$97,I$1+0)</f>
        <v>21</v>
      </c>
      <c r="J19" s="6" t="n">
        <f aca="false">SUMIFS('Source rows'!$F$2:$F$97,'Source rows'!$G$2:$G$97,$A19,'Source rows'!$A$2:$A$97,J$1+0)</f>
        <v>1</v>
      </c>
      <c r="K19" s="6" t="n">
        <f aca="false">SUMIFS('Source rows'!$F$2:$F$97,'Source rows'!$G$2:$G$97,$A19,'Source rows'!$A$2:$A$97,K$1+0)</f>
        <v>0</v>
      </c>
      <c r="L19" s="6" t="n">
        <f aca="false">SUMIFS('Source rows'!$F$2:$F$97,'Source rows'!$G$2:$G$97,$A19,'Source rows'!$A$2:$A$97,L$1+0)</f>
        <v>1</v>
      </c>
      <c r="M19" s="6" t="n">
        <f aca="false">SUM(C19:L19)</f>
        <v>26</v>
      </c>
      <c r="N19" s="6" t="n">
        <f aca="false">IF(M19=0,"never reported",_xlfn.MINIFS('Source rows'!$A$2:$A$97,'Source rows'!$G$2:$G$97,$A19,'Source rows'!$F$2:$F$97,"&gt;0"))</f>
        <v>2013</v>
      </c>
    </row>
    <row r="20" customFormat="false" ht="15" hidden="false" customHeight="false" outlineLevel="0" collapsed="false">
      <c r="A20" s="6" t="s">
        <v>143</v>
      </c>
      <c r="B20" s="6" t="s">
        <v>144</v>
      </c>
      <c r="C20" s="6" t="n">
        <f aca="false">SUMIFS('Source rows'!$F$2:$F$97,'Source rows'!$G$2:$G$97,$A20,'Source rows'!$A$2:$A$97,C$1+0)</f>
        <v>0</v>
      </c>
      <c r="D20" s="6" t="n">
        <f aca="false">SUMIFS('Source rows'!$F$2:$F$97,'Source rows'!$G$2:$G$97,$A20,'Source rows'!$A$2:$A$97,D$1+0)</f>
        <v>0</v>
      </c>
      <c r="E20" s="6" t="n">
        <f aca="false">SUMIFS('Source rows'!$F$2:$F$97,'Source rows'!$G$2:$G$97,$A20,'Source rows'!$A$2:$A$97,E$1+0)</f>
        <v>0</v>
      </c>
      <c r="F20" s="6" t="n">
        <f aca="false">SUMIFS('Source rows'!$F$2:$F$97,'Source rows'!$G$2:$G$97,$A20,'Source rows'!$A$2:$A$97,F$1+0)</f>
        <v>0</v>
      </c>
      <c r="G20" s="6" t="n">
        <f aca="false">SUMIFS('Source rows'!$F$2:$F$97,'Source rows'!$G$2:$G$97,$A20,'Source rows'!$A$2:$A$97,G$1+0)</f>
        <v>0</v>
      </c>
      <c r="H20" s="6" t="n">
        <f aca="false">SUMIFS('Source rows'!$F$2:$F$97,'Source rows'!$G$2:$G$97,$A20,'Source rows'!$A$2:$A$97,H$1+0)</f>
        <v>0</v>
      </c>
      <c r="I20" s="6" t="n">
        <f aca="false">SUMIFS('Source rows'!$F$2:$F$97,'Source rows'!$G$2:$G$97,$A20,'Source rows'!$A$2:$A$97,I$1+0)</f>
        <v>0</v>
      </c>
      <c r="J20" s="6" t="n">
        <f aca="false">SUMIFS('Source rows'!$F$2:$F$97,'Source rows'!$G$2:$G$97,$A20,'Source rows'!$A$2:$A$97,J$1+0)</f>
        <v>0</v>
      </c>
      <c r="K20" s="6" t="n">
        <f aca="false">SUMIFS('Source rows'!$F$2:$F$97,'Source rows'!$G$2:$G$97,$A20,'Source rows'!$A$2:$A$97,K$1+0)</f>
        <v>0</v>
      </c>
      <c r="L20" s="6" t="n">
        <f aca="false">SUMIFS('Source rows'!$F$2:$F$97,'Source rows'!$G$2:$G$97,$A20,'Source rows'!$A$2:$A$97,L$1+0)</f>
        <v>0</v>
      </c>
      <c r="M20" s="6" t="n">
        <f aca="false">SUM(C20:L20)</f>
        <v>0</v>
      </c>
      <c r="N20" s="6" t="str">
        <f aca="false">IF(M20=0,"never reported",_xlfn.MINIFS('Source rows'!$A$2:$A$97,'Source rows'!$G$2:$G$97,$A20,'Source rows'!$F$2:$F$97,"&gt;0"))</f>
        <v>never reported</v>
      </c>
    </row>
    <row r="21" customFormat="false" ht="15" hidden="false" customHeight="false" outlineLevel="0" collapsed="false">
      <c r="A21" s="6" t="s">
        <v>32</v>
      </c>
      <c r="B21" s="6" t="s">
        <v>33</v>
      </c>
      <c r="C21" s="6" t="n">
        <f aca="false">SUMIFS('Source rows'!$F$2:$F$97,'Source rows'!$G$2:$G$97,$A21,'Source rows'!$A$2:$A$97,C$1+0)</f>
        <v>0</v>
      </c>
      <c r="D21" s="6" t="n">
        <f aca="false">SUMIFS('Source rows'!$F$2:$F$97,'Source rows'!$G$2:$G$97,$A21,'Source rows'!$A$2:$A$97,D$1+0)</f>
        <v>1</v>
      </c>
      <c r="E21" s="6" t="n">
        <f aca="false">SUMIFS('Source rows'!$F$2:$F$97,'Source rows'!$G$2:$G$97,$A21,'Source rows'!$A$2:$A$97,E$1+0)</f>
        <v>0</v>
      </c>
      <c r="F21" s="6" t="n">
        <f aca="false">SUMIFS('Source rows'!$F$2:$F$97,'Source rows'!$G$2:$G$97,$A21,'Source rows'!$A$2:$A$97,F$1+0)</f>
        <v>0</v>
      </c>
      <c r="G21" s="6" t="n">
        <f aca="false">SUMIFS('Source rows'!$F$2:$F$97,'Source rows'!$G$2:$G$97,$A21,'Source rows'!$A$2:$A$97,G$1+0)</f>
        <v>0</v>
      </c>
      <c r="H21" s="6" t="n">
        <f aca="false">SUMIFS('Source rows'!$F$2:$F$97,'Source rows'!$G$2:$G$97,$A21,'Source rows'!$A$2:$A$97,H$1+0)</f>
        <v>0</v>
      </c>
      <c r="I21" s="6" t="n">
        <f aca="false">SUMIFS('Source rows'!$F$2:$F$97,'Source rows'!$G$2:$G$97,$A21,'Source rows'!$A$2:$A$97,I$1+0)</f>
        <v>0</v>
      </c>
      <c r="J21" s="6" t="n">
        <f aca="false">SUMIFS('Source rows'!$F$2:$F$97,'Source rows'!$G$2:$G$97,$A21,'Source rows'!$A$2:$A$97,J$1+0)</f>
        <v>0</v>
      </c>
      <c r="K21" s="6" t="n">
        <f aca="false">SUMIFS('Source rows'!$F$2:$F$97,'Source rows'!$G$2:$G$97,$A21,'Source rows'!$A$2:$A$97,K$1+0)</f>
        <v>0</v>
      </c>
      <c r="L21" s="6" t="n">
        <f aca="false">SUMIFS('Source rows'!$F$2:$F$97,'Source rows'!$G$2:$G$97,$A21,'Source rows'!$A$2:$A$97,L$1+0)</f>
        <v>0</v>
      </c>
      <c r="M21" s="6" t="n">
        <f aca="false">SUM(C21:L21)</f>
        <v>1</v>
      </c>
      <c r="N21" s="6" t="n">
        <f aca="false">IF(M21=0,"never reported",_xlfn.MINIFS('Source rows'!$A$2:$A$97,'Source rows'!$G$2:$G$97,$A21,'Source rows'!$F$2:$F$97,"&gt;0"))</f>
        <v>2013</v>
      </c>
    </row>
    <row r="22" customFormat="false" ht="15" hidden="false" customHeight="false" outlineLevel="0" collapsed="false">
      <c r="A22" s="6" t="s">
        <v>72</v>
      </c>
      <c r="B22" s="6" t="s">
        <v>73</v>
      </c>
      <c r="C22" s="6" t="n">
        <f aca="false">SUMIFS('Source rows'!$F$2:$F$97,'Source rows'!$G$2:$G$97,$A22,'Source rows'!$A$2:$A$97,C$1+0)</f>
        <v>0</v>
      </c>
      <c r="D22" s="6" t="n">
        <f aca="false">SUMIFS('Source rows'!$F$2:$F$97,'Source rows'!$G$2:$G$97,$A22,'Source rows'!$A$2:$A$97,D$1+0)</f>
        <v>0</v>
      </c>
      <c r="E22" s="6" t="n">
        <f aca="false">SUMIFS('Source rows'!$F$2:$F$97,'Source rows'!$G$2:$G$97,$A22,'Source rows'!$A$2:$A$97,E$1+0)</f>
        <v>1</v>
      </c>
      <c r="F22" s="6" t="n">
        <f aca="false">SUMIFS('Source rows'!$F$2:$F$97,'Source rows'!$G$2:$G$97,$A22,'Source rows'!$A$2:$A$97,F$1+0)</f>
        <v>0</v>
      </c>
      <c r="G22" s="6" t="n">
        <f aca="false">SUMIFS('Source rows'!$F$2:$F$97,'Source rows'!$G$2:$G$97,$A22,'Source rows'!$A$2:$A$97,G$1+0)</f>
        <v>0</v>
      </c>
      <c r="H22" s="6" t="n">
        <f aca="false">SUMIFS('Source rows'!$F$2:$F$97,'Source rows'!$G$2:$G$97,$A22,'Source rows'!$A$2:$A$97,H$1+0)</f>
        <v>0</v>
      </c>
      <c r="I22" s="6" t="n">
        <f aca="false">SUMIFS('Source rows'!$F$2:$F$97,'Source rows'!$G$2:$G$97,$A22,'Source rows'!$A$2:$A$97,I$1+0)</f>
        <v>0</v>
      </c>
      <c r="J22" s="6" t="n">
        <f aca="false">SUMIFS('Source rows'!$F$2:$F$97,'Source rows'!$G$2:$G$97,$A22,'Source rows'!$A$2:$A$97,J$1+0)</f>
        <v>0</v>
      </c>
      <c r="K22" s="6" t="n">
        <f aca="false">SUMIFS('Source rows'!$F$2:$F$97,'Source rows'!$G$2:$G$97,$A22,'Source rows'!$A$2:$A$97,K$1+0)</f>
        <v>0</v>
      </c>
      <c r="L22" s="6" t="n">
        <f aca="false">SUMIFS('Source rows'!$F$2:$F$97,'Source rows'!$G$2:$G$97,$A22,'Source rows'!$A$2:$A$97,L$1+0)</f>
        <v>0</v>
      </c>
      <c r="M22" s="6" t="n">
        <f aca="false">SUM(C22:L22)</f>
        <v>1</v>
      </c>
      <c r="N22" s="6" t="n">
        <f aca="false">IF(M22=0,"never reported",_xlfn.MINIFS('Source rows'!$A$2:$A$97,'Source rows'!$G$2:$G$97,$A22,'Source rows'!$F$2:$F$97,"&gt;0"))</f>
        <v>2014</v>
      </c>
    </row>
    <row r="23" customFormat="false" ht="15" hidden="false" customHeight="false" outlineLevel="0" collapsed="false">
      <c r="A23" s="6" t="s">
        <v>145</v>
      </c>
      <c r="B23" s="6" t="s">
        <v>146</v>
      </c>
      <c r="C23" s="6" t="n">
        <f aca="false">SUMIFS('Source rows'!$F$2:$F$97,'Source rows'!$G$2:$G$97,$A23,'Source rows'!$A$2:$A$97,C$1+0)</f>
        <v>0</v>
      </c>
      <c r="D23" s="6" t="n">
        <f aca="false">SUMIFS('Source rows'!$F$2:$F$97,'Source rows'!$G$2:$G$97,$A23,'Source rows'!$A$2:$A$97,D$1+0)</f>
        <v>0</v>
      </c>
      <c r="E23" s="6" t="n">
        <f aca="false">SUMIFS('Source rows'!$F$2:$F$97,'Source rows'!$G$2:$G$97,$A23,'Source rows'!$A$2:$A$97,E$1+0)</f>
        <v>0</v>
      </c>
      <c r="F23" s="6" t="n">
        <f aca="false">SUMIFS('Source rows'!$F$2:$F$97,'Source rows'!$G$2:$G$97,$A23,'Source rows'!$A$2:$A$97,F$1+0)</f>
        <v>0</v>
      </c>
      <c r="G23" s="6" t="n">
        <f aca="false">SUMIFS('Source rows'!$F$2:$F$97,'Source rows'!$G$2:$G$97,$A23,'Source rows'!$A$2:$A$97,G$1+0)</f>
        <v>0</v>
      </c>
      <c r="H23" s="6" t="n">
        <f aca="false">SUMIFS('Source rows'!$F$2:$F$97,'Source rows'!$G$2:$G$97,$A23,'Source rows'!$A$2:$A$97,H$1+0)</f>
        <v>0</v>
      </c>
      <c r="I23" s="6" t="n">
        <f aca="false">SUMIFS('Source rows'!$F$2:$F$97,'Source rows'!$G$2:$G$97,$A23,'Source rows'!$A$2:$A$97,I$1+0)</f>
        <v>0</v>
      </c>
      <c r="J23" s="6" t="n">
        <f aca="false">SUMIFS('Source rows'!$F$2:$F$97,'Source rows'!$G$2:$G$97,$A23,'Source rows'!$A$2:$A$97,J$1+0)</f>
        <v>0</v>
      </c>
      <c r="K23" s="6" t="n">
        <f aca="false">SUMIFS('Source rows'!$F$2:$F$97,'Source rows'!$G$2:$G$97,$A23,'Source rows'!$A$2:$A$97,K$1+0)</f>
        <v>0</v>
      </c>
      <c r="L23" s="6" t="n">
        <f aca="false">SUMIFS('Source rows'!$F$2:$F$97,'Source rows'!$G$2:$G$97,$A23,'Source rows'!$A$2:$A$97,L$1+0)</f>
        <v>0</v>
      </c>
      <c r="M23" s="6" t="n">
        <f aca="false">SUM(C23:L23)</f>
        <v>0</v>
      </c>
      <c r="N23" s="6" t="str">
        <f aca="false">IF(M23=0,"never reported",_xlfn.MINIFS('Source rows'!$A$2:$A$97,'Source rows'!$G$2:$G$97,$A23,'Source rows'!$F$2:$F$97,"&gt;0"))</f>
        <v>never reported</v>
      </c>
    </row>
    <row r="24" customFormat="false" ht="15" hidden="false" customHeight="false" outlineLevel="0" collapsed="false">
      <c r="A24" s="6" t="s">
        <v>48</v>
      </c>
      <c r="B24" s="6" t="s">
        <v>49</v>
      </c>
      <c r="C24" s="6" t="n">
        <f aca="false">SUMIFS('Source rows'!$F$2:$F$97,'Source rows'!$G$2:$G$97,$A24,'Source rows'!$A$2:$A$97,C$1+0)</f>
        <v>0</v>
      </c>
      <c r="D24" s="6" t="n">
        <f aca="false">SUMIFS('Source rows'!$F$2:$F$97,'Source rows'!$G$2:$G$97,$A24,'Source rows'!$A$2:$A$97,D$1+0)</f>
        <v>15</v>
      </c>
      <c r="E24" s="6" t="n">
        <f aca="false">SUMIFS('Source rows'!$F$2:$F$97,'Source rows'!$G$2:$G$97,$A24,'Source rows'!$A$2:$A$97,E$1+0)</f>
        <v>4</v>
      </c>
      <c r="F24" s="6" t="n">
        <f aca="false">SUMIFS('Source rows'!$F$2:$F$97,'Source rows'!$G$2:$G$97,$A24,'Source rows'!$A$2:$A$97,F$1+0)</f>
        <v>0</v>
      </c>
      <c r="G24" s="6" t="n">
        <f aca="false">SUMIFS('Source rows'!$F$2:$F$97,'Source rows'!$G$2:$G$97,$A24,'Source rows'!$A$2:$A$97,G$1+0)</f>
        <v>5</v>
      </c>
      <c r="H24" s="6" t="n">
        <f aca="false">SUMIFS('Source rows'!$F$2:$F$97,'Source rows'!$G$2:$G$97,$A24,'Source rows'!$A$2:$A$97,H$1+0)</f>
        <v>6</v>
      </c>
      <c r="I24" s="6" t="n">
        <f aca="false">SUMIFS('Source rows'!$F$2:$F$97,'Source rows'!$G$2:$G$97,$A24,'Source rows'!$A$2:$A$97,I$1+0)</f>
        <v>20</v>
      </c>
      <c r="J24" s="6" t="n">
        <f aca="false">SUMIFS('Source rows'!$F$2:$F$97,'Source rows'!$G$2:$G$97,$A24,'Source rows'!$A$2:$A$97,J$1+0)</f>
        <v>1</v>
      </c>
      <c r="K24" s="6" t="n">
        <f aca="false">SUMIFS('Source rows'!$F$2:$F$97,'Source rows'!$G$2:$G$97,$A24,'Source rows'!$A$2:$A$97,K$1+0)</f>
        <v>0</v>
      </c>
      <c r="L24" s="6" t="n">
        <f aca="false">SUMIFS('Source rows'!$F$2:$F$97,'Source rows'!$G$2:$G$97,$A24,'Source rows'!$A$2:$A$97,L$1+0)</f>
        <v>5</v>
      </c>
      <c r="M24" s="6" t="n">
        <f aca="false">SUM(C24:L24)</f>
        <v>56</v>
      </c>
      <c r="N24" s="6" t="n">
        <f aca="false">IF(M24=0,"never reported",_xlfn.MINIFS('Source rows'!$A$2:$A$97,'Source rows'!$G$2:$G$97,$A24,'Source rows'!$F$2:$F$97,"&gt;0"))</f>
        <v>2013</v>
      </c>
    </row>
    <row r="25" customFormat="false" ht="15" hidden="false" customHeight="false" outlineLevel="0" collapsed="false">
      <c r="A25" s="6" t="s">
        <v>79</v>
      </c>
      <c r="B25" s="6" t="s">
        <v>80</v>
      </c>
      <c r="C25" s="6" t="n">
        <f aca="false">SUMIFS('Source rows'!$F$2:$F$97,'Source rows'!$G$2:$G$97,$A25,'Source rows'!$A$2:$A$97,C$1+0)</f>
        <v>0</v>
      </c>
      <c r="D25" s="6" t="n">
        <f aca="false">SUMIFS('Source rows'!$F$2:$F$97,'Source rows'!$G$2:$G$97,$A25,'Source rows'!$A$2:$A$97,D$1+0)</f>
        <v>0</v>
      </c>
      <c r="E25" s="6" t="n">
        <f aca="false">SUMIFS('Source rows'!$F$2:$F$97,'Source rows'!$G$2:$G$97,$A25,'Source rows'!$A$2:$A$97,E$1+0)</f>
        <v>0</v>
      </c>
      <c r="F25" s="6" t="n">
        <f aca="false">SUMIFS('Source rows'!$F$2:$F$97,'Source rows'!$G$2:$G$97,$A25,'Source rows'!$A$2:$A$97,F$1+0)</f>
        <v>1</v>
      </c>
      <c r="G25" s="6" t="n">
        <f aca="false">SUMIFS('Source rows'!$F$2:$F$97,'Source rows'!$G$2:$G$97,$A25,'Source rows'!$A$2:$A$97,G$1+0)</f>
        <v>0</v>
      </c>
      <c r="H25" s="6" t="n">
        <f aca="false">SUMIFS('Source rows'!$F$2:$F$97,'Source rows'!$G$2:$G$97,$A25,'Source rows'!$A$2:$A$97,H$1+0)</f>
        <v>0</v>
      </c>
      <c r="I25" s="6" t="n">
        <f aca="false">SUMIFS('Source rows'!$F$2:$F$97,'Source rows'!$G$2:$G$97,$A25,'Source rows'!$A$2:$A$97,I$1+0)</f>
        <v>0</v>
      </c>
      <c r="J25" s="6" t="n">
        <f aca="false">SUMIFS('Source rows'!$F$2:$F$97,'Source rows'!$G$2:$G$97,$A25,'Source rows'!$A$2:$A$97,J$1+0)</f>
        <v>0</v>
      </c>
      <c r="K25" s="6" t="n">
        <f aca="false">SUMIFS('Source rows'!$F$2:$F$97,'Source rows'!$G$2:$G$97,$A25,'Source rows'!$A$2:$A$97,K$1+0)</f>
        <v>0</v>
      </c>
      <c r="L25" s="6" t="n">
        <f aca="false">SUMIFS('Source rows'!$F$2:$F$97,'Source rows'!$G$2:$G$97,$A25,'Source rows'!$A$2:$A$97,L$1+0)</f>
        <v>0</v>
      </c>
      <c r="M25" s="6" t="n">
        <f aca="false">SUM(C25:L25)</f>
        <v>1</v>
      </c>
      <c r="N25" s="6" t="n">
        <f aca="false">IF(M25=0,"never reported",_xlfn.MINIFS('Source rows'!$A$2:$A$97,'Source rows'!$G$2:$G$97,$A25,'Source rows'!$F$2:$F$97,"&gt;0"))</f>
        <v>2015</v>
      </c>
    </row>
    <row r="26" customFormat="false" ht="15" hidden="false" customHeight="false" outlineLevel="0" collapsed="false">
      <c r="A26" s="6" t="s">
        <v>147</v>
      </c>
      <c r="B26" s="6" t="s">
        <v>148</v>
      </c>
      <c r="C26" s="6" t="n">
        <f aca="false">SUMIFS('Source rows'!$F$2:$F$97,'Source rows'!$G$2:$G$97,$A26,'Source rows'!$A$2:$A$97,C$1+0)</f>
        <v>0</v>
      </c>
      <c r="D26" s="6" t="n">
        <f aca="false">SUMIFS('Source rows'!$F$2:$F$97,'Source rows'!$G$2:$G$97,$A26,'Source rows'!$A$2:$A$97,D$1+0)</f>
        <v>0</v>
      </c>
      <c r="E26" s="6" t="n">
        <f aca="false">SUMIFS('Source rows'!$F$2:$F$97,'Source rows'!$G$2:$G$97,$A26,'Source rows'!$A$2:$A$97,E$1+0)</f>
        <v>0</v>
      </c>
      <c r="F26" s="6" t="n">
        <f aca="false">SUMIFS('Source rows'!$F$2:$F$97,'Source rows'!$G$2:$G$97,$A26,'Source rows'!$A$2:$A$97,F$1+0)</f>
        <v>0</v>
      </c>
      <c r="G26" s="6" t="n">
        <f aca="false">SUMIFS('Source rows'!$F$2:$F$97,'Source rows'!$G$2:$G$97,$A26,'Source rows'!$A$2:$A$97,G$1+0)</f>
        <v>0</v>
      </c>
      <c r="H26" s="6" t="n">
        <f aca="false">SUMIFS('Source rows'!$F$2:$F$97,'Source rows'!$G$2:$G$97,$A26,'Source rows'!$A$2:$A$97,H$1+0)</f>
        <v>0</v>
      </c>
      <c r="I26" s="6" t="n">
        <f aca="false">SUMIFS('Source rows'!$F$2:$F$97,'Source rows'!$G$2:$G$97,$A26,'Source rows'!$A$2:$A$97,I$1+0)</f>
        <v>0</v>
      </c>
      <c r="J26" s="6" t="n">
        <f aca="false">SUMIFS('Source rows'!$F$2:$F$97,'Source rows'!$G$2:$G$97,$A26,'Source rows'!$A$2:$A$97,J$1+0)</f>
        <v>0</v>
      </c>
      <c r="K26" s="6" t="n">
        <f aca="false">SUMIFS('Source rows'!$F$2:$F$97,'Source rows'!$G$2:$G$97,$A26,'Source rows'!$A$2:$A$97,K$1+0)</f>
        <v>0</v>
      </c>
      <c r="L26" s="6" t="n">
        <f aca="false">SUMIFS('Source rows'!$F$2:$F$97,'Source rows'!$G$2:$G$97,$A26,'Source rows'!$A$2:$A$97,L$1+0)</f>
        <v>0</v>
      </c>
      <c r="M26" s="6" t="n">
        <f aca="false">SUM(C26:L26)</f>
        <v>0</v>
      </c>
      <c r="N26" s="6" t="str">
        <f aca="false">IF(M26=0,"never reported",_xlfn.MINIFS('Source rows'!$A$2:$A$97,'Source rows'!$G$2:$G$97,$A26,'Source rows'!$F$2:$F$97,"&gt;0"))</f>
        <v>never reported</v>
      </c>
    </row>
    <row r="28" customFormat="false" ht="15" hidden="false" customHeight="false" outlineLevel="0" collapsed="false">
      <c r="A28" s="5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7" min="7" style="0" width="62"/>
  </cols>
  <sheetData>
    <row r="1" customFormat="false" ht="26.85" hidden="false" customHeight="false" outlineLevel="0" collapsed="false">
      <c r="A1" s="1" t="s">
        <v>150</v>
      </c>
      <c r="B1" s="1" t="s">
        <v>151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customFormat="false" ht="15" hidden="false" customHeight="false" outlineLevel="0" collapsed="false">
      <c r="A2" s="2" t="n">
        <v>2011</v>
      </c>
      <c r="B2" s="2" t="s">
        <v>156</v>
      </c>
      <c r="C2" s="2" t="s">
        <v>10</v>
      </c>
      <c r="D2" s="2" t="s">
        <v>157</v>
      </c>
      <c r="E2" s="2" t="s">
        <v>158</v>
      </c>
      <c r="F2" s="2" t="n">
        <v>0</v>
      </c>
      <c r="G2" s="2" t="s">
        <v>159</v>
      </c>
    </row>
    <row r="3" customFormat="false" ht="15" hidden="false" customHeight="false" outlineLevel="0" collapsed="false">
      <c r="A3" s="2" t="n">
        <v>2012</v>
      </c>
      <c r="B3" s="2" t="s">
        <v>160</v>
      </c>
      <c r="C3" s="2" t="s">
        <v>10</v>
      </c>
      <c r="D3" s="2" t="s">
        <v>11</v>
      </c>
      <c r="E3" s="2" t="s">
        <v>161</v>
      </c>
      <c r="F3" s="2" t="n">
        <v>5</v>
      </c>
      <c r="G3" s="2" t="s">
        <v>162</v>
      </c>
    </row>
    <row r="4" customFormat="false" ht="15" hidden="false" customHeight="false" outlineLevel="0" collapsed="false">
      <c r="A4" s="2" t="n">
        <v>2013</v>
      </c>
      <c r="B4" s="2" t="s">
        <v>160</v>
      </c>
      <c r="C4" s="2" t="s">
        <v>10</v>
      </c>
      <c r="D4" s="2" t="s">
        <v>27</v>
      </c>
      <c r="E4" s="2" t="s">
        <v>163</v>
      </c>
      <c r="F4" s="2" t="n">
        <v>18</v>
      </c>
      <c r="G4" s="2" t="s">
        <v>164</v>
      </c>
    </row>
    <row r="5" customFormat="false" ht="15" hidden="false" customHeight="false" outlineLevel="0" collapsed="false">
      <c r="A5" s="2" t="n">
        <v>2014</v>
      </c>
      <c r="B5" s="2" t="s">
        <v>160</v>
      </c>
      <c r="C5" s="2" t="s">
        <v>10</v>
      </c>
      <c r="D5" s="2" t="s">
        <v>70</v>
      </c>
      <c r="E5" s="2" t="s">
        <v>165</v>
      </c>
      <c r="F5" s="2" t="n">
        <v>9</v>
      </c>
      <c r="G5" s="2"/>
    </row>
    <row r="6" customFormat="false" ht="15" hidden="false" customHeight="false" outlineLevel="0" collapsed="false">
      <c r="A6" s="2" t="n">
        <v>2015</v>
      </c>
      <c r="B6" s="2" t="s">
        <v>160</v>
      </c>
      <c r="C6" s="2" t="s">
        <v>10</v>
      </c>
      <c r="D6" s="2" t="s">
        <v>77</v>
      </c>
      <c r="E6" s="2" t="s">
        <v>166</v>
      </c>
      <c r="F6" s="2" t="n">
        <v>7</v>
      </c>
      <c r="G6" s="2"/>
    </row>
    <row r="7" customFormat="false" ht="15" hidden="false" customHeight="false" outlineLevel="0" collapsed="false">
      <c r="A7" s="2" t="n">
        <v>2016</v>
      </c>
      <c r="B7" s="2" t="s">
        <v>160</v>
      </c>
      <c r="C7" s="2" t="s">
        <v>81</v>
      </c>
      <c r="D7" s="2" t="s">
        <v>82</v>
      </c>
      <c r="E7" s="2" t="s">
        <v>167</v>
      </c>
      <c r="F7" s="2" t="n">
        <v>7</v>
      </c>
      <c r="G7" s="2"/>
    </row>
    <row r="8" customFormat="false" ht="15" hidden="false" customHeight="false" outlineLevel="0" collapsed="false">
      <c r="A8" s="2" t="n">
        <v>2017</v>
      </c>
      <c r="B8" s="2" t="s">
        <v>160</v>
      </c>
      <c r="C8" s="2" t="s">
        <v>89</v>
      </c>
      <c r="D8" s="2" t="s">
        <v>90</v>
      </c>
      <c r="E8" s="2" t="s">
        <v>168</v>
      </c>
      <c r="F8" s="2" t="n">
        <v>6</v>
      </c>
      <c r="G8" s="2" t="s">
        <v>169</v>
      </c>
    </row>
    <row r="9" customFormat="false" ht="15" hidden="false" customHeight="false" outlineLevel="0" collapsed="false">
      <c r="A9" s="2" t="n">
        <v>2018</v>
      </c>
      <c r="B9" s="2" t="s">
        <v>160</v>
      </c>
      <c r="C9" s="2" t="s">
        <v>81</v>
      </c>
      <c r="D9" s="2" t="s">
        <v>99</v>
      </c>
      <c r="E9" s="2" t="s">
        <v>170</v>
      </c>
      <c r="F9" s="2" t="n">
        <v>17</v>
      </c>
      <c r="G9" s="2" t="s">
        <v>171</v>
      </c>
    </row>
    <row r="10" customFormat="false" ht="15" hidden="false" customHeight="false" outlineLevel="0" collapsed="false">
      <c r="A10" s="2" t="n">
        <v>2019</v>
      </c>
      <c r="B10" s="2" t="s">
        <v>160</v>
      </c>
      <c r="C10" s="2" t="s">
        <v>81</v>
      </c>
      <c r="D10" s="2" t="s">
        <v>111</v>
      </c>
      <c r="E10" s="2" t="s">
        <v>172</v>
      </c>
      <c r="F10" s="2" t="n">
        <v>7</v>
      </c>
      <c r="G10" s="2" t="s">
        <v>173</v>
      </c>
    </row>
    <row r="11" customFormat="false" ht="15" hidden="false" customHeight="false" outlineLevel="0" collapsed="false">
      <c r="A11" s="2" t="n">
        <v>2020</v>
      </c>
      <c r="B11" s="2" t="s">
        <v>174</v>
      </c>
      <c r="C11" s="2" t="s">
        <v>81</v>
      </c>
      <c r="D11" s="2" t="s">
        <v>175</v>
      </c>
      <c r="E11" s="2" t="s">
        <v>176</v>
      </c>
      <c r="F11" s="2" t="n">
        <v>0</v>
      </c>
      <c r="G11" s="2" t="s">
        <v>177</v>
      </c>
    </row>
    <row r="12" customFormat="false" ht="15" hidden="false" customHeight="false" outlineLevel="0" collapsed="false">
      <c r="A12" s="2" t="n">
        <v>2021</v>
      </c>
      <c r="B12" s="2" t="s">
        <v>160</v>
      </c>
      <c r="C12" s="2" t="s">
        <v>112</v>
      </c>
      <c r="D12" s="2" t="s">
        <v>113</v>
      </c>
      <c r="E12" s="2" t="s">
        <v>178</v>
      </c>
      <c r="F12" s="2" t="n">
        <v>6</v>
      </c>
      <c r="G12" s="2" t="s">
        <v>179</v>
      </c>
    </row>
    <row r="13" customFormat="false" ht="15" hidden="false" customHeight="false" outlineLevel="0" collapsed="false">
      <c r="A13" s="2" t="n">
        <v>2022</v>
      </c>
      <c r="B13" s="2" t="s">
        <v>180</v>
      </c>
      <c r="C13" s="2"/>
      <c r="D13" s="2"/>
      <c r="E13" s="2"/>
      <c r="F13" s="2" t="n">
        <v>0</v>
      </c>
      <c r="G13" s="2" t="s">
        <v>181</v>
      </c>
    </row>
    <row r="14" customFormat="false" ht="15" hidden="false" customHeight="false" outlineLevel="0" collapsed="false">
      <c r="A14" s="2" t="n">
        <v>2023</v>
      </c>
      <c r="B14" s="2" t="s">
        <v>180</v>
      </c>
      <c r="C14" s="2"/>
      <c r="D14" s="2"/>
      <c r="E14" s="2"/>
      <c r="F14" s="2" t="n">
        <v>0</v>
      </c>
      <c r="G14" s="2" t="s">
        <v>181</v>
      </c>
    </row>
    <row r="15" customFormat="false" ht="15" hidden="false" customHeight="false" outlineLevel="0" collapsed="false">
      <c r="A15" s="2" t="n">
        <v>2024</v>
      </c>
      <c r="B15" s="2" t="s">
        <v>160</v>
      </c>
      <c r="C15" s="2" t="s">
        <v>117</v>
      </c>
      <c r="D15" s="2" t="s">
        <v>118</v>
      </c>
      <c r="E15" s="2" t="s">
        <v>182</v>
      </c>
      <c r="F15" s="2" t="n">
        <v>14</v>
      </c>
      <c r="G15" s="2" t="s">
        <v>183</v>
      </c>
    </row>
    <row r="17" customFormat="false" ht="15" hidden="false" customHeight="false" outlineLevel="0" collapsed="false">
      <c r="A17" s="5" t="s">
        <v>184</v>
      </c>
    </row>
    <row r="18" customFormat="false" ht="15" hidden="false" customHeight="false" outlineLevel="0" collapsed="false">
      <c r="A18" s="5" t="s">
        <v>185</v>
      </c>
    </row>
    <row r="19" customFormat="false" ht="15" hidden="false" customHeight="false" outlineLevel="0" collapsed="false">
      <c r="A19" s="5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2026-09-08T17:50:40Z</dcterms:created>
  <dc:creator>openpyxl</dc:creator>
  <dc:description/>
  <dc:language>en-US</dc:language>
  <cp:lastModifiedBy/>
  <dcterms:modified xsi:type="dcterms:W3CDTF">2026-09-08T17:50:40Z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