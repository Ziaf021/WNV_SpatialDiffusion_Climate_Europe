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urce rows" sheetId="1" state="visible" r:id="rId3"/>
    <sheet name="Unit 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<sst xmlns="http://schemas.openxmlformats.org/spreadsheetml/2006/main" count="409" uniqueCount="159">
  <si>
    <t xml:space="preserve">Year</t>
  </si>
  <si>
    <t xml:space="preserve">Country</t>
  </si>
  <si>
    <t xml:space="preserve">Source</t>
  </si>
  <si>
    <t xml:space="preserve">Region as ECDC prints it</t>
  </si>
  <si>
    <t xml:space="preserve">ECDC code (if given)</t>
  </si>
  <si>
    <t xml:space="preserve">Cases (human, total)</t>
  </si>
  <si>
    <t xml:space="preserve">Assigned unit</t>
  </si>
  <si>
    <t xml:space="preserve">Unit name</t>
  </si>
  <si>
    <t xml:space="preserve">Mapping confidence</t>
  </si>
  <si>
    <t xml:space="preserve">Basis of mapping</t>
  </si>
  <si>
    <t xml:space="preserve">Checked</t>
  </si>
  <si>
    <t xml:space="preserve">Comment</t>
  </si>
  <si>
    <t xml:space="preserve">AL</t>
  </si>
  <si>
    <t xml:space="preserve">Table of cases 2011 (HTML)</t>
  </si>
  <si>
    <t xml:space="preserve">Lezhe prefecture</t>
  </si>
  <si>
    <t xml:space="preserve">AL014</t>
  </si>
  <si>
    <t xml:space="preserve">Lezhë</t>
  </si>
  <si>
    <t xml:space="preserve">certain</t>
  </si>
  <si>
    <t xml:space="preserve">prefecture named directly</t>
  </si>
  <si>
    <t xml:space="preserve">MK</t>
  </si>
  <si>
    <t xml:space="preserve">Skopje region</t>
  </si>
  <si>
    <t xml:space="preserve">MK008</t>
  </si>
  <si>
    <t xml:space="preserve">Скопски</t>
  </si>
  <si>
    <t xml:space="preserve">Table of cases 2012 (HTML)</t>
  </si>
  <si>
    <t xml:space="preserve">Krusevo municipality</t>
  </si>
  <si>
    <t xml:space="preserve">MK005</t>
  </si>
  <si>
    <t xml:space="preserve">Пелагониски</t>
  </si>
  <si>
    <t xml:space="preserve">assigned</t>
  </si>
  <si>
    <t xml:space="preserve">Kruševo lies in the Pelagonia region</t>
  </si>
  <si>
    <t xml:space="preserve">Lipkovo municipality</t>
  </si>
  <si>
    <t xml:space="preserve">MK007</t>
  </si>
  <si>
    <t xml:space="preserve">Североисточен</t>
  </si>
  <si>
    <t xml:space="preserve">Lipkovo lies in the Northeastern region</t>
  </si>
  <si>
    <t xml:space="preserve">Struga municipality</t>
  </si>
  <si>
    <t xml:space="preserve">MK003</t>
  </si>
  <si>
    <t xml:space="preserve">Југозападен</t>
  </si>
  <si>
    <t xml:space="preserve">Struga lies in the Southwestern region</t>
  </si>
  <si>
    <t xml:space="preserve">XK</t>
  </si>
  <si>
    <t xml:space="preserve">Kosovski region (Pristina)</t>
  </si>
  <si>
    <t xml:space="preserve">XK001</t>
  </si>
  <si>
    <t xml:space="preserve">Prishtinë</t>
  </si>
  <si>
    <t xml:space="preserve">Kosovsko-Pomoravski region</t>
  </si>
  <si>
    <t xml:space="preserve">XK006</t>
  </si>
  <si>
    <t xml:space="preserve">Gjilan</t>
  </si>
  <si>
    <t xml:space="preserve">uncertain</t>
  </si>
  <si>
    <t xml:space="preserve">read as the Gjilan region; confirm before use</t>
  </si>
  <si>
    <t xml:space="preserve">Prizremski region</t>
  </si>
  <si>
    <t xml:space="preserve">XK004</t>
  </si>
  <si>
    <t xml:space="preserve">Prizren</t>
  </si>
  <si>
    <t xml:space="preserve">ME</t>
  </si>
  <si>
    <t xml:space="preserve">Podgorica or Ulcinj region</t>
  </si>
  <si>
    <t xml:space="preserve">ME000</t>
  </si>
  <si>
    <t xml:space="preserve">Црна Гора</t>
  </si>
  <si>
    <t xml:space="preserve">Montenegro is a single unit</t>
  </si>
  <si>
    <t xml:space="preserve">Table of cases 2013 (HTML)</t>
  </si>
  <si>
    <t xml:space="preserve">Istocen</t>
  </si>
  <si>
    <t xml:space="preserve">MK002</t>
  </si>
  <si>
    <t xml:space="preserve">Источен</t>
  </si>
  <si>
    <t xml:space="preserve">Cetinje region</t>
  </si>
  <si>
    <t xml:space="preserve">Podgorica or Bar region</t>
  </si>
  <si>
    <t xml:space="preserve">Podgorica</t>
  </si>
  <si>
    <t xml:space="preserve">End-of-the season update 2018_table.xlsx</t>
  </si>
  <si>
    <t xml:space="preserve">Kosovski</t>
  </si>
  <si>
    <t xml:space="preserve">WNV-end-of-seaon-update.xlsx</t>
  </si>
  <si>
    <t xml:space="preserve">Jugozapaden</t>
  </si>
  <si>
    <t xml:space="preserve">Skopski</t>
  </si>
  <si>
    <t xml:space="preserve">wnv-2024.html, Table 1</t>
  </si>
  <si>
    <t xml:space="preserve">Mitrovicë</t>
  </si>
  <si>
    <t xml:space="preserve">XK002</t>
  </si>
  <si>
    <t xml:space="preserve">Jugoistočen</t>
  </si>
  <si>
    <t xml:space="preserve">MK004</t>
  </si>
  <si>
    <t xml:space="preserve">Југоисточен</t>
  </si>
  <si>
    <t xml:space="preserve">Pološki</t>
  </si>
  <si>
    <t xml:space="preserve">MK006</t>
  </si>
  <si>
    <t xml:space="preserve">Полошки</t>
  </si>
  <si>
    <t xml:space="preserve">Berat</t>
  </si>
  <si>
    <t xml:space="preserve">ALG1305</t>
  </si>
  <si>
    <t xml:space="preserve">AL031</t>
  </si>
  <si>
    <t xml:space="preserve">district to prefecture</t>
  </si>
  <si>
    <t xml:space="preserve">Durres</t>
  </si>
  <si>
    <t xml:space="preserve">ALG1310</t>
  </si>
  <si>
    <t xml:space="preserve">AL012</t>
  </si>
  <si>
    <t xml:space="preserve">Durrës</t>
  </si>
  <si>
    <t xml:space="preserve">Elbasan</t>
  </si>
  <si>
    <t xml:space="preserve">ALG1311</t>
  </si>
  <si>
    <t xml:space="preserve">AL021</t>
  </si>
  <si>
    <t xml:space="preserve">Fier</t>
  </si>
  <si>
    <t xml:space="preserve">ALG1312</t>
  </si>
  <si>
    <t xml:space="preserve">AL032</t>
  </si>
  <si>
    <t xml:space="preserve">Kavaje</t>
  </si>
  <si>
    <t xml:space="preserve">ALG1316</t>
  </si>
  <si>
    <t xml:space="preserve">AL022</t>
  </si>
  <si>
    <t xml:space="preserve">Tiranë</t>
  </si>
  <si>
    <t xml:space="preserve">Kavajë sits in Tiranë county</t>
  </si>
  <si>
    <t xml:space="preserve">Kruje</t>
  </si>
  <si>
    <t xml:space="preserve">ALG1319</t>
  </si>
  <si>
    <t xml:space="preserve">Krujë sits in Durrës county</t>
  </si>
  <si>
    <t xml:space="preserve">Kucove</t>
  </si>
  <si>
    <t xml:space="preserve">ALG1320</t>
  </si>
  <si>
    <t xml:space="preserve">Kuçovë sits in Berat county</t>
  </si>
  <si>
    <t xml:space="preserve">Kurbin</t>
  </si>
  <si>
    <t xml:space="preserve">ALG1322</t>
  </si>
  <si>
    <t xml:space="preserve">Kurbin sits in Lezhë county</t>
  </si>
  <si>
    <t xml:space="preserve">Lezhe</t>
  </si>
  <si>
    <t xml:space="preserve">ALG1323</t>
  </si>
  <si>
    <t xml:space="preserve">Lushnje</t>
  </si>
  <si>
    <t xml:space="preserve">ALG1325</t>
  </si>
  <si>
    <t xml:space="preserve">Lushnjë sits in Fier county</t>
  </si>
  <si>
    <t xml:space="preserve">Mallakaster</t>
  </si>
  <si>
    <t xml:space="preserve">ALG1327</t>
  </si>
  <si>
    <t xml:space="preserve">Mallakastër sits in Fier county</t>
  </si>
  <si>
    <t xml:space="preserve">Pogradec</t>
  </si>
  <si>
    <t xml:space="preserve">ALG1332</t>
  </si>
  <si>
    <t xml:space="preserve">AL034</t>
  </si>
  <si>
    <t xml:space="preserve">Korcë</t>
  </si>
  <si>
    <t xml:space="preserve">Pogradec sits in Korçë county</t>
  </si>
  <si>
    <t xml:space="preserve">Tirane</t>
  </si>
  <si>
    <t xml:space="preserve">ALG1338</t>
  </si>
  <si>
    <t xml:space="preserve">Vlore</t>
  </si>
  <si>
    <t xml:space="preserve">ALG1340</t>
  </si>
  <si>
    <t xml:space="preserve">AL035</t>
  </si>
  <si>
    <t xml:space="preserve">Vlorë</t>
  </si>
  <si>
    <t xml:space="preserve">BA</t>
  </si>
  <si>
    <t xml:space="preserve">Modrica canton</t>
  </si>
  <si>
    <t xml:space="preserve">unresolved</t>
  </si>
  <si>
    <t xml:space="preserve">Modriča lies in Republika Srpska; entity, not a statistical region</t>
  </si>
  <si>
    <t xml:space="preserve">Tuzlansko-podrinjski canton</t>
  </si>
  <si>
    <t xml:space="preserve">canton of the Federation</t>
  </si>
  <si>
    <t xml:space="preserve">Table of cases 2014 (HTML)</t>
  </si>
  <si>
    <t xml:space="preserve">Republika Srpska</t>
  </si>
  <si>
    <t xml:space="preserve">entity-level report covering roughly half the country</t>
  </si>
  <si>
    <t xml:space="preserve">Cases in assembled file</t>
  </si>
  <si>
    <t xml:space="preserve">Cases held out (BiH)</t>
  </si>
  <si>
    <t xml:space="preserve">Rows checked</t>
  </si>
  <si>
    <t xml:space="preserve">Fill only the yellow columns. Shaded rows are the ones that need your decision rather than a tick: one Kosovo region read from a name, and three Bosnian reports that do not resolve onto statistical regions.</t>
  </si>
  <si>
    <t xml:space="preserve">Example: 2024 | AL | wnv-2024.html, Table 1 | Lushnje | ALG1325 | 22 | AL032 | Fier | assigned | Lushnjë sits in Fier county | x | agrees</t>
  </si>
  <si>
    <t xml:space="preserve">Unit</t>
  </si>
  <si>
    <t xml:space="preserve">Name</t>
  </si>
  <si>
    <t xml:space="preserve">Total cases</t>
  </si>
  <si>
    <t xml:space="preserve">First invasion year</t>
  </si>
  <si>
    <t xml:space="preserve">In assembled file</t>
  </si>
  <si>
    <t xml:space="preserve">AL011</t>
  </si>
  <si>
    <t xml:space="preserve">Dibër</t>
  </si>
  <si>
    <t xml:space="preserve">yes</t>
  </si>
  <si>
    <t xml:space="preserve">AL013</t>
  </si>
  <si>
    <t xml:space="preserve">Kukës</t>
  </si>
  <si>
    <t xml:space="preserve">AL015</t>
  </si>
  <si>
    <t xml:space="preserve">Shkodër</t>
  </si>
  <si>
    <t xml:space="preserve">AL033</t>
  </si>
  <si>
    <t xml:space="preserve">Gjirokastër</t>
  </si>
  <si>
    <t xml:space="preserve">MK001</t>
  </si>
  <si>
    <t xml:space="preserve">Вардарски</t>
  </si>
  <si>
    <t xml:space="preserve">XK003</t>
  </si>
  <si>
    <t xml:space="preserve">Pejë</t>
  </si>
  <si>
    <t xml:space="preserve">XK005</t>
  </si>
  <si>
    <t xml:space="preserve">Ferizaj</t>
  </si>
  <si>
    <t xml:space="preserve">XK007</t>
  </si>
  <si>
    <t xml:space="preserve">Gjakovë</t>
  </si>
  <si>
    <t xml:space="preserve">Bosnia and Herzegovina is not listed: its 2013 and 2014 reports are at canton and entity level and do not resolve onto the three BA statistical regions in the project's files. 16 cases are held out pending your decision.</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</si>
</sst>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name val="Arial"/>
      <family val="0"/>
      <charset val="1"/>
    </font>
    <font>
      <b val="true"/>
      <sz val="11"/>
      <name val="Arial"/>
      <family val="0"/>
      <charset val="1"/>
    </font>
    <font>
      <i val="true"/>
      <sz val="11"/>
      <color rgb="FF59595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CE4D6"/>
        <bgColor rgb="FFFF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9"/>
    <col collapsed="false" customWidth="true" hidden="false" outlineLevel="0" max="3" min="3" style="0" width="34"/>
    <col collapsed="false" customWidth="true" hidden="false" outlineLevel="0" max="4" min="4" style="0" width="30"/>
    <col collapsed="false" customWidth="true" hidden="false" outlineLevel="0" max="5" min="5" style="0" width="15"/>
    <col collapsed="false" customWidth="true" hidden="false" outlineLevel="0" max="6" min="6" style="0" width="14"/>
    <col collapsed="false" customWidth="true" hidden="false" outlineLevel="0" max="7" min="7" style="0" width="13"/>
    <col collapsed="false" customWidth="true" hidden="false" outlineLevel="0" max="8" min="8" style="0" width="16"/>
    <col collapsed="false" customWidth="true" hidden="false" outlineLevel="0" max="9" min="9" style="0" width="18"/>
    <col collapsed="false" customWidth="true" hidden="false" outlineLevel="0" max="10" min="10" style="0" width="40"/>
    <col collapsed="false" customWidth="true" hidden="false" outlineLevel="0" max="11" min="11" style="0" width="10"/>
    <col collapsed="false" customWidth="true" hidden="false" outlineLevel="0" max="12" min="12" style="0" width="30"/>
  </cols>
  <sheetData>
    <row r="1" customFormat="false" ht="39.5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 hidden="false" customHeight="false" outlineLevel="0" collapsed="false">
      <c r="A2" s="2" t="n">
        <v>2011</v>
      </c>
      <c r="B2" s="2" t="s">
        <v>12</v>
      </c>
      <c r="C2" s="2" t="s">
        <v>13</v>
      </c>
      <c r="D2" s="2" t="s">
        <v>14</v>
      </c>
      <c r="E2" s="2"/>
      <c r="F2" s="2" t="n">
        <v>2</v>
      </c>
      <c r="G2" s="2" t="s">
        <v>15</v>
      </c>
      <c r="H2" s="2" t="s">
        <v>16</v>
      </c>
      <c r="I2" s="2" t="s">
        <v>17</v>
      </c>
      <c r="J2" s="2" t="s">
        <v>18</v>
      </c>
      <c r="K2" s="3"/>
      <c r="L2" s="3"/>
    </row>
    <row r="3" customFormat="false" ht="15" hidden="false" customHeight="false" outlineLevel="0" collapsed="false">
      <c r="A3" s="2" t="n">
        <v>2011</v>
      </c>
      <c r="B3" s="2" t="s">
        <v>19</v>
      </c>
      <c r="C3" s="2" t="s">
        <v>13</v>
      </c>
      <c r="D3" s="2" t="s">
        <v>20</v>
      </c>
      <c r="E3" s="2"/>
      <c r="F3" s="2" t="n">
        <v>4</v>
      </c>
      <c r="G3" s="2" t="s">
        <v>21</v>
      </c>
      <c r="H3" s="2" t="s">
        <v>22</v>
      </c>
      <c r="I3" s="2" t="s">
        <v>17</v>
      </c>
      <c r="J3" s="2"/>
      <c r="K3" s="3"/>
      <c r="L3" s="3"/>
    </row>
    <row r="4" customFormat="false" ht="15" hidden="false" customHeight="false" outlineLevel="0" collapsed="false">
      <c r="A4" s="2" t="n">
        <v>2012</v>
      </c>
      <c r="B4" s="2" t="s">
        <v>19</v>
      </c>
      <c r="C4" s="2" t="s">
        <v>23</v>
      </c>
      <c r="D4" s="2" t="s">
        <v>24</v>
      </c>
      <c r="E4" s="2"/>
      <c r="F4" s="2" t="n">
        <v>1</v>
      </c>
      <c r="G4" s="2" t="s">
        <v>25</v>
      </c>
      <c r="H4" s="2" t="s">
        <v>26</v>
      </c>
      <c r="I4" s="2" t="s">
        <v>27</v>
      </c>
      <c r="J4" s="2" t="s">
        <v>28</v>
      </c>
      <c r="K4" s="3"/>
      <c r="L4" s="3"/>
    </row>
    <row r="5" customFormat="false" ht="15" hidden="false" customHeight="false" outlineLevel="0" collapsed="false">
      <c r="A5" s="2" t="n">
        <v>2012</v>
      </c>
      <c r="B5" s="2" t="s">
        <v>19</v>
      </c>
      <c r="C5" s="2" t="s">
        <v>23</v>
      </c>
      <c r="D5" s="2" t="s">
        <v>29</v>
      </c>
      <c r="E5" s="2"/>
      <c r="F5" s="2" t="n">
        <v>1</v>
      </c>
      <c r="G5" s="2" t="s">
        <v>30</v>
      </c>
      <c r="H5" s="2" t="s">
        <v>31</v>
      </c>
      <c r="I5" s="2" t="s">
        <v>27</v>
      </c>
      <c r="J5" s="2" t="s">
        <v>32</v>
      </c>
      <c r="K5" s="3"/>
      <c r="L5" s="3"/>
    </row>
    <row r="6" customFormat="false" ht="15" hidden="false" customHeight="false" outlineLevel="0" collapsed="false">
      <c r="A6" s="2" t="n">
        <v>2012</v>
      </c>
      <c r="B6" s="2" t="s">
        <v>19</v>
      </c>
      <c r="C6" s="2" t="s">
        <v>23</v>
      </c>
      <c r="D6" s="2" t="s">
        <v>20</v>
      </c>
      <c r="E6" s="2"/>
      <c r="F6" s="2" t="n">
        <v>3</v>
      </c>
      <c r="G6" s="2" t="s">
        <v>21</v>
      </c>
      <c r="H6" s="2" t="s">
        <v>22</v>
      </c>
      <c r="I6" s="2" t="s">
        <v>17</v>
      </c>
      <c r="J6" s="2"/>
      <c r="K6" s="3"/>
      <c r="L6" s="3"/>
    </row>
    <row r="7" customFormat="false" ht="15" hidden="false" customHeight="false" outlineLevel="0" collapsed="false">
      <c r="A7" s="2" t="n">
        <v>2012</v>
      </c>
      <c r="B7" s="2" t="s">
        <v>19</v>
      </c>
      <c r="C7" s="2" t="s">
        <v>23</v>
      </c>
      <c r="D7" s="2" t="s">
        <v>33</v>
      </c>
      <c r="E7" s="2"/>
      <c r="F7" s="2" t="n">
        <v>1</v>
      </c>
      <c r="G7" s="2" t="s">
        <v>34</v>
      </c>
      <c r="H7" s="2" t="s">
        <v>35</v>
      </c>
      <c r="I7" s="2" t="s">
        <v>27</v>
      </c>
      <c r="J7" s="2" t="s">
        <v>36</v>
      </c>
      <c r="K7" s="3"/>
      <c r="L7" s="3"/>
    </row>
    <row r="8" customFormat="false" ht="15" hidden="false" customHeight="false" outlineLevel="0" collapsed="false">
      <c r="A8" s="2" t="n">
        <v>2012</v>
      </c>
      <c r="B8" s="2" t="s">
        <v>37</v>
      </c>
      <c r="C8" s="2" t="s">
        <v>23</v>
      </c>
      <c r="D8" s="2" t="s">
        <v>38</v>
      </c>
      <c r="E8" s="2"/>
      <c r="F8" s="2" t="n">
        <v>2</v>
      </c>
      <c r="G8" s="2" t="s">
        <v>39</v>
      </c>
      <c r="H8" s="2" t="s">
        <v>40</v>
      </c>
      <c r="I8" s="2" t="s">
        <v>17</v>
      </c>
      <c r="J8" s="2"/>
      <c r="K8" s="3"/>
      <c r="L8" s="3"/>
    </row>
    <row r="9" customFormat="false" ht="15" hidden="false" customHeight="false" outlineLevel="0" collapsed="false">
      <c r="A9" s="4" t="n">
        <v>2012</v>
      </c>
      <c r="B9" s="4" t="s">
        <v>37</v>
      </c>
      <c r="C9" s="4" t="s">
        <v>23</v>
      </c>
      <c r="D9" s="4" t="s">
        <v>41</v>
      </c>
      <c r="E9" s="4"/>
      <c r="F9" s="4" t="n">
        <v>1</v>
      </c>
      <c r="G9" s="4" t="s">
        <v>42</v>
      </c>
      <c r="H9" s="4" t="s">
        <v>43</v>
      </c>
      <c r="I9" s="4" t="s">
        <v>44</v>
      </c>
      <c r="J9" s="4" t="s">
        <v>45</v>
      </c>
      <c r="K9" s="3"/>
      <c r="L9" s="3"/>
    </row>
    <row r="10" customFormat="false" ht="15" hidden="false" customHeight="false" outlineLevel="0" collapsed="false">
      <c r="A10" s="2" t="n">
        <v>2012</v>
      </c>
      <c r="B10" s="2" t="s">
        <v>37</v>
      </c>
      <c r="C10" s="2" t="s">
        <v>23</v>
      </c>
      <c r="D10" s="2" t="s">
        <v>46</v>
      </c>
      <c r="E10" s="2"/>
      <c r="F10" s="2" t="n">
        <v>1</v>
      </c>
      <c r="G10" s="2" t="s">
        <v>47</v>
      </c>
      <c r="H10" s="2" t="s">
        <v>48</v>
      </c>
      <c r="I10" s="2" t="s">
        <v>17</v>
      </c>
      <c r="J10" s="2"/>
      <c r="K10" s="3"/>
      <c r="L10" s="3"/>
    </row>
    <row r="11" customFormat="false" ht="15" hidden="false" customHeight="false" outlineLevel="0" collapsed="false">
      <c r="A11" s="2" t="n">
        <v>2012</v>
      </c>
      <c r="B11" s="2" t="s">
        <v>49</v>
      </c>
      <c r="C11" s="2" t="s">
        <v>23</v>
      </c>
      <c r="D11" s="2" t="s">
        <v>50</v>
      </c>
      <c r="E11" s="2"/>
      <c r="F11" s="2" t="n">
        <v>1</v>
      </c>
      <c r="G11" s="2" t="s">
        <v>51</v>
      </c>
      <c r="H11" s="2" t="s">
        <v>52</v>
      </c>
      <c r="I11" s="2" t="s">
        <v>17</v>
      </c>
      <c r="J11" s="2" t="s">
        <v>53</v>
      </c>
      <c r="K11" s="3"/>
      <c r="L11" s="3"/>
    </row>
    <row r="12" customFormat="false" ht="15" hidden="false" customHeight="false" outlineLevel="0" collapsed="false">
      <c r="A12" s="2" t="n">
        <v>2013</v>
      </c>
      <c r="B12" s="2" t="s">
        <v>19</v>
      </c>
      <c r="C12" s="2" t="s">
        <v>54</v>
      </c>
      <c r="D12" s="2" t="s">
        <v>55</v>
      </c>
      <c r="E12" s="2"/>
      <c r="F12" s="2" t="n">
        <v>1</v>
      </c>
      <c r="G12" s="2" t="s">
        <v>56</v>
      </c>
      <c r="H12" s="2" t="s">
        <v>57</v>
      </c>
      <c r="I12" s="2" t="s">
        <v>17</v>
      </c>
      <c r="J12" s="2"/>
      <c r="K12" s="3"/>
      <c r="L12" s="3"/>
    </row>
    <row r="13" customFormat="false" ht="15" hidden="false" customHeight="false" outlineLevel="0" collapsed="false">
      <c r="A13" s="2" t="n">
        <v>2013</v>
      </c>
      <c r="B13" s="2" t="s">
        <v>49</v>
      </c>
      <c r="C13" s="2" t="s">
        <v>54</v>
      </c>
      <c r="D13" s="2" t="s">
        <v>58</v>
      </c>
      <c r="E13" s="2"/>
      <c r="F13" s="2" t="n">
        <v>1</v>
      </c>
      <c r="G13" s="2" t="s">
        <v>51</v>
      </c>
      <c r="H13" s="2" t="s">
        <v>52</v>
      </c>
      <c r="I13" s="2" t="s">
        <v>17</v>
      </c>
      <c r="J13" s="2" t="s">
        <v>53</v>
      </c>
      <c r="K13" s="3"/>
      <c r="L13" s="3"/>
    </row>
    <row r="14" customFormat="false" ht="15" hidden="false" customHeight="false" outlineLevel="0" collapsed="false">
      <c r="A14" s="2" t="n">
        <v>2013</v>
      </c>
      <c r="B14" s="2" t="s">
        <v>49</v>
      </c>
      <c r="C14" s="2" t="s">
        <v>54</v>
      </c>
      <c r="D14" s="2" t="s">
        <v>59</v>
      </c>
      <c r="E14" s="2"/>
      <c r="F14" s="2" t="n">
        <v>1</v>
      </c>
      <c r="G14" s="2" t="s">
        <v>51</v>
      </c>
      <c r="H14" s="2" t="s">
        <v>52</v>
      </c>
      <c r="I14" s="2" t="s">
        <v>17</v>
      </c>
      <c r="J14" s="2" t="s">
        <v>53</v>
      </c>
      <c r="K14" s="3"/>
      <c r="L14" s="3"/>
    </row>
    <row r="15" customFormat="false" ht="15" hidden="false" customHeight="false" outlineLevel="0" collapsed="false">
      <c r="A15" s="2" t="n">
        <v>2013</v>
      </c>
      <c r="B15" s="2" t="s">
        <v>49</v>
      </c>
      <c r="C15" s="2" t="s">
        <v>54</v>
      </c>
      <c r="D15" s="2" t="s">
        <v>60</v>
      </c>
      <c r="E15" s="2"/>
      <c r="F15" s="2" t="n">
        <v>2</v>
      </c>
      <c r="G15" s="2" t="s">
        <v>51</v>
      </c>
      <c r="H15" s="2" t="s">
        <v>52</v>
      </c>
      <c r="I15" s="2" t="s">
        <v>17</v>
      </c>
      <c r="J15" s="2" t="s">
        <v>53</v>
      </c>
      <c r="K15" s="3"/>
      <c r="L15" s="3"/>
    </row>
    <row r="16" customFormat="false" ht="15" hidden="false" customHeight="false" outlineLevel="0" collapsed="false">
      <c r="A16" s="2" t="n">
        <v>2018</v>
      </c>
      <c r="B16" s="2" t="s">
        <v>37</v>
      </c>
      <c r="C16" s="2" t="s">
        <v>61</v>
      </c>
      <c r="D16" s="2" t="s">
        <v>62</v>
      </c>
      <c r="E16" s="2"/>
      <c r="F16" s="2" t="n">
        <v>14</v>
      </c>
      <c r="G16" s="2" t="s">
        <v>39</v>
      </c>
      <c r="H16" s="2" t="s">
        <v>40</v>
      </c>
      <c r="I16" s="2" t="s">
        <v>17</v>
      </c>
      <c r="J16" s="2"/>
      <c r="K16" s="3"/>
      <c r="L16" s="3"/>
    </row>
    <row r="17" customFormat="false" ht="15" hidden="false" customHeight="false" outlineLevel="0" collapsed="false">
      <c r="A17" s="2" t="n">
        <v>2019</v>
      </c>
      <c r="B17" s="2" t="s">
        <v>19</v>
      </c>
      <c r="C17" s="2" t="s">
        <v>63</v>
      </c>
      <c r="D17" s="2" t="s">
        <v>64</v>
      </c>
      <c r="E17" s="2"/>
      <c r="F17" s="2" t="n">
        <v>1</v>
      </c>
      <c r="G17" s="2" t="s">
        <v>34</v>
      </c>
      <c r="H17" s="2" t="s">
        <v>35</v>
      </c>
      <c r="I17" s="2" t="s">
        <v>17</v>
      </c>
      <c r="J17" s="2"/>
      <c r="K17" s="3"/>
      <c r="L17" s="3"/>
    </row>
    <row r="18" customFormat="false" ht="15" hidden="false" customHeight="false" outlineLevel="0" collapsed="false">
      <c r="A18" s="2" t="n">
        <v>2019</v>
      </c>
      <c r="B18" s="2" t="s">
        <v>19</v>
      </c>
      <c r="C18" s="2" t="s">
        <v>63</v>
      </c>
      <c r="D18" s="2" t="s">
        <v>65</v>
      </c>
      <c r="E18" s="2"/>
      <c r="F18" s="2" t="n">
        <v>5</v>
      </c>
      <c r="G18" s="2" t="s">
        <v>21</v>
      </c>
      <c r="H18" s="2" t="s">
        <v>22</v>
      </c>
      <c r="I18" s="2" t="s">
        <v>17</v>
      </c>
      <c r="J18" s="2"/>
      <c r="K18" s="3"/>
      <c r="L18" s="3"/>
    </row>
    <row r="19" customFormat="false" ht="15" hidden="false" customHeight="false" outlineLevel="0" collapsed="false">
      <c r="A19" s="2" t="n">
        <v>2024</v>
      </c>
      <c r="B19" s="2" t="s">
        <v>37</v>
      </c>
      <c r="C19" s="2" t="s">
        <v>66</v>
      </c>
      <c r="D19" s="2" t="s">
        <v>40</v>
      </c>
      <c r="E19" s="2" t="s">
        <v>39</v>
      </c>
      <c r="F19" s="2" t="n">
        <v>2</v>
      </c>
      <c r="G19" s="2" t="s">
        <v>39</v>
      </c>
      <c r="H19" s="2" t="s">
        <v>40</v>
      </c>
      <c r="I19" s="2" t="s">
        <v>17</v>
      </c>
      <c r="J19" s="2"/>
      <c r="K19" s="3"/>
      <c r="L19" s="3"/>
    </row>
    <row r="20" customFormat="false" ht="15" hidden="false" customHeight="false" outlineLevel="0" collapsed="false">
      <c r="A20" s="2" t="n">
        <v>2024</v>
      </c>
      <c r="B20" s="2" t="s">
        <v>37</v>
      </c>
      <c r="C20" s="2" t="s">
        <v>66</v>
      </c>
      <c r="D20" s="2" t="s">
        <v>67</v>
      </c>
      <c r="E20" s="2" t="s">
        <v>68</v>
      </c>
      <c r="F20" s="2" t="n">
        <v>1</v>
      </c>
      <c r="G20" s="2" t="s">
        <v>68</v>
      </c>
      <c r="H20" s="2" t="s">
        <v>67</v>
      </c>
      <c r="I20" s="2" t="s">
        <v>17</v>
      </c>
      <c r="J20" s="2"/>
      <c r="K20" s="3"/>
      <c r="L20" s="3"/>
    </row>
    <row r="21" customFormat="false" ht="15" hidden="false" customHeight="false" outlineLevel="0" collapsed="false">
      <c r="A21" s="2" t="n">
        <v>2024</v>
      </c>
      <c r="B21" s="2" t="s">
        <v>37</v>
      </c>
      <c r="C21" s="2" t="s">
        <v>66</v>
      </c>
      <c r="D21" s="2" t="s">
        <v>48</v>
      </c>
      <c r="E21" s="2" t="s">
        <v>47</v>
      </c>
      <c r="F21" s="2" t="n">
        <v>1</v>
      </c>
      <c r="G21" s="2" t="s">
        <v>47</v>
      </c>
      <c r="H21" s="2" t="s">
        <v>48</v>
      </c>
      <c r="I21" s="2" t="s">
        <v>17</v>
      </c>
      <c r="J21" s="2"/>
      <c r="K21" s="3"/>
      <c r="L21" s="3"/>
    </row>
    <row r="22" customFormat="false" ht="15" hidden="false" customHeight="false" outlineLevel="0" collapsed="false">
      <c r="A22" s="2" t="n">
        <v>2024</v>
      </c>
      <c r="B22" s="2" t="s">
        <v>19</v>
      </c>
      <c r="C22" s="2" t="s">
        <v>66</v>
      </c>
      <c r="D22" s="2" t="s">
        <v>69</v>
      </c>
      <c r="E22" s="2" t="s">
        <v>70</v>
      </c>
      <c r="F22" s="2" t="n">
        <v>1</v>
      </c>
      <c r="G22" s="2" t="s">
        <v>70</v>
      </c>
      <c r="H22" s="2" t="s">
        <v>71</v>
      </c>
      <c r="I22" s="2" t="s">
        <v>17</v>
      </c>
      <c r="J22" s="2"/>
      <c r="K22" s="3"/>
      <c r="L22" s="3"/>
    </row>
    <row r="23" customFormat="false" ht="15" hidden="false" customHeight="false" outlineLevel="0" collapsed="false">
      <c r="A23" s="2" t="n">
        <v>2024</v>
      </c>
      <c r="B23" s="2" t="s">
        <v>19</v>
      </c>
      <c r="C23" s="2" t="s">
        <v>66</v>
      </c>
      <c r="D23" s="2" t="s">
        <v>72</v>
      </c>
      <c r="E23" s="2" t="s">
        <v>73</v>
      </c>
      <c r="F23" s="2" t="n">
        <v>1</v>
      </c>
      <c r="G23" s="2" t="s">
        <v>73</v>
      </c>
      <c r="H23" s="2" t="s">
        <v>74</v>
      </c>
      <c r="I23" s="2" t="s">
        <v>17</v>
      </c>
      <c r="J23" s="2"/>
      <c r="K23" s="3"/>
      <c r="L23" s="3"/>
    </row>
    <row r="24" customFormat="false" ht="15" hidden="false" customHeight="false" outlineLevel="0" collapsed="false">
      <c r="A24" s="2" t="n">
        <v>2024</v>
      </c>
      <c r="B24" s="2" t="s">
        <v>12</v>
      </c>
      <c r="C24" s="2" t="s">
        <v>66</v>
      </c>
      <c r="D24" s="2" t="s">
        <v>75</v>
      </c>
      <c r="E24" s="2" t="s">
        <v>76</v>
      </c>
      <c r="F24" s="2" t="n">
        <v>14</v>
      </c>
      <c r="G24" s="2" t="s">
        <v>77</v>
      </c>
      <c r="H24" s="2" t="s">
        <v>75</v>
      </c>
      <c r="I24" s="2" t="s">
        <v>27</v>
      </c>
      <c r="J24" s="2" t="s">
        <v>78</v>
      </c>
      <c r="K24" s="3"/>
      <c r="L24" s="3"/>
    </row>
    <row r="25" customFormat="false" ht="15" hidden="false" customHeight="false" outlineLevel="0" collapsed="false">
      <c r="A25" s="2" t="n">
        <v>2024</v>
      </c>
      <c r="B25" s="2" t="s">
        <v>12</v>
      </c>
      <c r="C25" s="2" t="s">
        <v>66</v>
      </c>
      <c r="D25" s="2" t="s">
        <v>79</v>
      </c>
      <c r="E25" s="2" t="s">
        <v>80</v>
      </c>
      <c r="F25" s="2" t="n">
        <v>4</v>
      </c>
      <c r="G25" s="2" t="s">
        <v>81</v>
      </c>
      <c r="H25" s="2" t="s">
        <v>82</v>
      </c>
      <c r="I25" s="2" t="s">
        <v>27</v>
      </c>
      <c r="J25" s="2" t="s">
        <v>78</v>
      </c>
      <c r="K25" s="3"/>
      <c r="L25" s="3"/>
    </row>
    <row r="26" customFormat="false" ht="15" hidden="false" customHeight="false" outlineLevel="0" collapsed="false">
      <c r="A26" s="2" t="n">
        <v>2024</v>
      </c>
      <c r="B26" s="2" t="s">
        <v>12</v>
      </c>
      <c r="C26" s="2" t="s">
        <v>66</v>
      </c>
      <c r="D26" s="2" t="s">
        <v>83</v>
      </c>
      <c r="E26" s="2" t="s">
        <v>84</v>
      </c>
      <c r="F26" s="2" t="n">
        <v>8</v>
      </c>
      <c r="G26" s="2" t="s">
        <v>85</v>
      </c>
      <c r="H26" s="2" t="s">
        <v>83</v>
      </c>
      <c r="I26" s="2" t="s">
        <v>27</v>
      </c>
      <c r="J26" s="2" t="s">
        <v>78</v>
      </c>
      <c r="K26" s="3"/>
      <c r="L26" s="3"/>
    </row>
    <row r="27" customFormat="false" ht="15" hidden="false" customHeight="false" outlineLevel="0" collapsed="false">
      <c r="A27" s="2" t="n">
        <v>2024</v>
      </c>
      <c r="B27" s="2" t="s">
        <v>12</v>
      </c>
      <c r="C27" s="2" t="s">
        <v>66</v>
      </c>
      <c r="D27" s="2" t="s">
        <v>86</v>
      </c>
      <c r="E27" s="2" t="s">
        <v>87</v>
      </c>
      <c r="F27" s="2" t="n">
        <v>11</v>
      </c>
      <c r="G27" s="2" t="s">
        <v>88</v>
      </c>
      <c r="H27" s="2" t="s">
        <v>86</v>
      </c>
      <c r="I27" s="2" t="s">
        <v>27</v>
      </c>
      <c r="J27" s="2" t="s">
        <v>78</v>
      </c>
      <c r="K27" s="3"/>
      <c r="L27" s="3"/>
    </row>
    <row r="28" customFormat="false" ht="15" hidden="false" customHeight="false" outlineLevel="0" collapsed="false">
      <c r="A28" s="2" t="n">
        <v>2024</v>
      </c>
      <c r="B28" s="2" t="s">
        <v>12</v>
      </c>
      <c r="C28" s="2" t="s">
        <v>66</v>
      </c>
      <c r="D28" s="2" t="s">
        <v>89</v>
      </c>
      <c r="E28" s="2" t="s">
        <v>90</v>
      </c>
      <c r="F28" s="2" t="n">
        <v>3</v>
      </c>
      <c r="G28" s="2" t="s">
        <v>91</v>
      </c>
      <c r="H28" s="2" t="s">
        <v>92</v>
      </c>
      <c r="I28" s="2" t="s">
        <v>27</v>
      </c>
      <c r="J28" s="2" t="s">
        <v>93</v>
      </c>
      <c r="K28" s="3"/>
      <c r="L28" s="3"/>
    </row>
    <row r="29" customFormat="false" ht="15" hidden="false" customHeight="false" outlineLevel="0" collapsed="false">
      <c r="A29" s="2" t="n">
        <v>2024</v>
      </c>
      <c r="B29" s="2" t="s">
        <v>12</v>
      </c>
      <c r="C29" s="2" t="s">
        <v>66</v>
      </c>
      <c r="D29" s="2" t="s">
        <v>94</v>
      </c>
      <c r="E29" s="2" t="s">
        <v>95</v>
      </c>
      <c r="F29" s="2" t="n">
        <v>1</v>
      </c>
      <c r="G29" s="2" t="s">
        <v>81</v>
      </c>
      <c r="H29" s="2" t="s">
        <v>82</v>
      </c>
      <c r="I29" s="2" t="s">
        <v>27</v>
      </c>
      <c r="J29" s="2" t="s">
        <v>96</v>
      </c>
      <c r="K29" s="3"/>
      <c r="L29" s="3"/>
    </row>
    <row r="30" customFormat="false" ht="15" hidden="false" customHeight="false" outlineLevel="0" collapsed="false">
      <c r="A30" s="2" t="n">
        <v>2024</v>
      </c>
      <c r="B30" s="2" t="s">
        <v>12</v>
      </c>
      <c r="C30" s="2" t="s">
        <v>66</v>
      </c>
      <c r="D30" s="2" t="s">
        <v>97</v>
      </c>
      <c r="E30" s="2" t="s">
        <v>98</v>
      </c>
      <c r="F30" s="2" t="n">
        <v>4</v>
      </c>
      <c r="G30" s="2" t="s">
        <v>77</v>
      </c>
      <c r="H30" s="2" t="s">
        <v>75</v>
      </c>
      <c r="I30" s="2" t="s">
        <v>27</v>
      </c>
      <c r="J30" s="2" t="s">
        <v>99</v>
      </c>
      <c r="K30" s="3"/>
      <c r="L30" s="3"/>
    </row>
    <row r="31" customFormat="false" ht="15" hidden="false" customHeight="false" outlineLevel="0" collapsed="false">
      <c r="A31" s="2" t="n">
        <v>2024</v>
      </c>
      <c r="B31" s="2" t="s">
        <v>12</v>
      </c>
      <c r="C31" s="2" t="s">
        <v>66</v>
      </c>
      <c r="D31" s="2" t="s">
        <v>100</v>
      </c>
      <c r="E31" s="2" t="s">
        <v>101</v>
      </c>
      <c r="F31" s="2" t="n">
        <v>6</v>
      </c>
      <c r="G31" s="2" t="s">
        <v>15</v>
      </c>
      <c r="H31" s="2" t="s">
        <v>16</v>
      </c>
      <c r="I31" s="2" t="s">
        <v>27</v>
      </c>
      <c r="J31" s="2" t="s">
        <v>102</v>
      </c>
      <c r="K31" s="3"/>
      <c r="L31" s="3"/>
    </row>
    <row r="32" customFormat="false" ht="15" hidden="false" customHeight="false" outlineLevel="0" collapsed="false">
      <c r="A32" s="2" t="n">
        <v>2024</v>
      </c>
      <c r="B32" s="2" t="s">
        <v>12</v>
      </c>
      <c r="C32" s="2" t="s">
        <v>66</v>
      </c>
      <c r="D32" s="2" t="s">
        <v>103</v>
      </c>
      <c r="E32" s="2" t="s">
        <v>104</v>
      </c>
      <c r="F32" s="2" t="n">
        <v>5</v>
      </c>
      <c r="G32" s="2" t="s">
        <v>15</v>
      </c>
      <c r="H32" s="2" t="s">
        <v>16</v>
      </c>
      <c r="I32" s="2" t="s">
        <v>27</v>
      </c>
      <c r="J32" s="2" t="s">
        <v>78</v>
      </c>
      <c r="K32" s="3"/>
      <c r="L32" s="3"/>
    </row>
    <row r="33" customFormat="false" ht="15" hidden="false" customHeight="false" outlineLevel="0" collapsed="false">
      <c r="A33" s="2" t="n">
        <v>2024</v>
      </c>
      <c r="B33" s="2" t="s">
        <v>12</v>
      </c>
      <c r="C33" s="2" t="s">
        <v>66</v>
      </c>
      <c r="D33" s="2" t="s">
        <v>105</v>
      </c>
      <c r="E33" s="2" t="s">
        <v>106</v>
      </c>
      <c r="F33" s="2" t="n">
        <v>22</v>
      </c>
      <c r="G33" s="2" t="s">
        <v>88</v>
      </c>
      <c r="H33" s="2" t="s">
        <v>86</v>
      </c>
      <c r="I33" s="2" t="s">
        <v>27</v>
      </c>
      <c r="J33" s="2" t="s">
        <v>107</v>
      </c>
      <c r="K33" s="3"/>
      <c r="L33" s="3"/>
    </row>
    <row r="34" customFormat="false" ht="15" hidden="false" customHeight="false" outlineLevel="0" collapsed="false">
      <c r="A34" s="2" t="n">
        <v>2024</v>
      </c>
      <c r="B34" s="2" t="s">
        <v>12</v>
      </c>
      <c r="C34" s="2" t="s">
        <v>66</v>
      </c>
      <c r="D34" s="2" t="s">
        <v>108</v>
      </c>
      <c r="E34" s="2" t="s">
        <v>109</v>
      </c>
      <c r="F34" s="2" t="n">
        <v>1</v>
      </c>
      <c r="G34" s="2" t="s">
        <v>88</v>
      </c>
      <c r="H34" s="2" t="s">
        <v>86</v>
      </c>
      <c r="I34" s="2" t="s">
        <v>27</v>
      </c>
      <c r="J34" s="2" t="s">
        <v>110</v>
      </c>
      <c r="K34" s="3"/>
      <c r="L34" s="3"/>
    </row>
    <row r="35" customFormat="false" ht="15" hidden="false" customHeight="false" outlineLevel="0" collapsed="false">
      <c r="A35" s="2" t="n">
        <v>2024</v>
      </c>
      <c r="B35" s="2" t="s">
        <v>12</v>
      </c>
      <c r="C35" s="2" t="s">
        <v>66</v>
      </c>
      <c r="D35" s="2" t="s">
        <v>111</v>
      </c>
      <c r="E35" s="2" t="s">
        <v>112</v>
      </c>
      <c r="F35" s="2" t="n">
        <v>1</v>
      </c>
      <c r="G35" s="2" t="s">
        <v>113</v>
      </c>
      <c r="H35" s="2" t="s">
        <v>114</v>
      </c>
      <c r="I35" s="2" t="s">
        <v>27</v>
      </c>
      <c r="J35" s="2" t="s">
        <v>115</v>
      </c>
      <c r="K35" s="3"/>
      <c r="L35" s="3"/>
    </row>
    <row r="36" customFormat="false" ht="15" hidden="false" customHeight="false" outlineLevel="0" collapsed="false">
      <c r="A36" s="2" t="n">
        <v>2024</v>
      </c>
      <c r="B36" s="2" t="s">
        <v>12</v>
      </c>
      <c r="C36" s="2" t="s">
        <v>66</v>
      </c>
      <c r="D36" s="2" t="s">
        <v>116</v>
      </c>
      <c r="E36" s="2" t="s">
        <v>117</v>
      </c>
      <c r="F36" s="2" t="n">
        <v>15</v>
      </c>
      <c r="G36" s="2" t="s">
        <v>91</v>
      </c>
      <c r="H36" s="2" t="s">
        <v>92</v>
      </c>
      <c r="I36" s="2" t="s">
        <v>27</v>
      </c>
      <c r="J36" s="2" t="s">
        <v>78</v>
      </c>
      <c r="K36" s="3"/>
      <c r="L36" s="3"/>
    </row>
    <row r="37" customFormat="false" ht="15" hidden="false" customHeight="false" outlineLevel="0" collapsed="false">
      <c r="A37" s="2" t="n">
        <v>2024</v>
      </c>
      <c r="B37" s="2" t="s">
        <v>12</v>
      </c>
      <c r="C37" s="2" t="s">
        <v>66</v>
      </c>
      <c r="D37" s="2" t="s">
        <v>118</v>
      </c>
      <c r="E37" s="2" t="s">
        <v>119</v>
      </c>
      <c r="F37" s="2" t="n">
        <v>11</v>
      </c>
      <c r="G37" s="2" t="s">
        <v>120</v>
      </c>
      <c r="H37" s="2" t="s">
        <v>121</v>
      </c>
      <c r="I37" s="2" t="s">
        <v>27</v>
      </c>
      <c r="J37" s="2" t="s">
        <v>78</v>
      </c>
      <c r="K37" s="3"/>
      <c r="L37" s="3"/>
    </row>
    <row r="38" customFormat="false" ht="15" hidden="false" customHeight="false" outlineLevel="0" collapsed="false">
      <c r="A38" s="4" t="n">
        <v>2013</v>
      </c>
      <c r="B38" s="4" t="s">
        <v>122</v>
      </c>
      <c r="C38" s="4" t="s">
        <v>54</v>
      </c>
      <c r="D38" s="4" t="s">
        <v>123</v>
      </c>
      <c r="E38" s="4"/>
      <c r="F38" s="4" t="n">
        <v>1</v>
      </c>
      <c r="G38" s="4"/>
      <c r="H38" s="4"/>
      <c r="I38" s="4" t="s">
        <v>124</v>
      </c>
      <c r="J38" s="4" t="s">
        <v>125</v>
      </c>
      <c r="K38" s="3"/>
      <c r="L38" s="3"/>
    </row>
    <row r="39" customFormat="false" ht="15" hidden="false" customHeight="false" outlineLevel="0" collapsed="false">
      <c r="A39" s="4" t="n">
        <v>2013</v>
      </c>
      <c r="B39" s="4" t="s">
        <v>122</v>
      </c>
      <c r="C39" s="4" t="s">
        <v>54</v>
      </c>
      <c r="D39" s="4" t="s">
        <v>126</v>
      </c>
      <c r="E39" s="4"/>
      <c r="F39" s="4" t="n">
        <v>2</v>
      </c>
      <c r="G39" s="4"/>
      <c r="H39" s="4"/>
      <c r="I39" s="4" t="s">
        <v>124</v>
      </c>
      <c r="J39" s="4" t="s">
        <v>127</v>
      </c>
      <c r="K39" s="3"/>
      <c r="L39" s="3"/>
    </row>
    <row r="40" customFormat="false" ht="15" hidden="false" customHeight="false" outlineLevel="0" collapsed="false">
      <c r="A40" s="4" t="n">
        <v>2014</v>
      </c>
      <c r="B40" s="4" t="s">
        <v>122</v>
      </c>
      <c r="C40" s="4" t="s">
        <v>128</v>
      </c>
      <c r="D40" s="4" t="s">
        <v>129</v>
      </c>
      <c r="E40" s="4"/>
      <c r="F40" s="4" t="n">
        <v>13</v>
      </c>
      <c r="G40" s="4"/>
      <c r="H40" s="4"/>
      <c r="I40" s="4" t="s">
        <v>124</v>
      </c>
      <c r="J40" s="4" t="s">
        <v>130</v>
      </c>
      <c r="K40" s="3"/>
      <c r="L40" s="3"/>
    </row>
    <row r="42" customFormat="false" ht="15" hidden="false" customHeight="false" outlineLevel="0" collapsed="false">
      <c r="E42" s="5" t="s">
        <v>131</v>
      </c>
      <c r="F42" s="5" t="n">
        <f aca="false">SUMIFS(F2:F40,I2:I40,"&lt;&gt;unresolved")</f>
        <v>154</v>
      </c>
    </row>
    <row r="43" customFormat="false" ht="15" hidden="false" customHeight="false" outlineLevel="0" collapsed="false">
      <c r="E43" s="5" t="s">
        <v>132</v>
      </c>
      <c r="F43" s="5" t="n">
        <f aca="false">SUMIFS(F2:F40,I2:I40,"unresolved")</f>
        <v>16</v>
      </c>
    </row>
    <row r="44" customFormat="false" ht="15" hidden="false" customHeight="false" outlineLevel="0" collapsed="false">
      <c r="E44" s="5" t="s">
        <v>133</v>
      </c>
      <c r="F44" s="5" t="n">
        <f aca="false">COUNTA(K2:K40)</f>
        <v>0</v>
      </c>
    </row>
    <row r="46" customFormat="false" ht="15" hidden="false" customHeight="false" outlineLevel="0" collapsed="false">
      <c r="A46" s="6" t="s">
        <v>134</v>
      </c>
    </row>
    <row r="47" customFormat="false" ht="15" hidden="false" customHeight="false" outlineLevel="0" collapsed="false">
      <c r="A47" s="6" t="s">
        <v>135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18"/>
    <col collapsed="false" customWidth="true" hidden="false" outlineLevel="0" max="4" min="4" style="0" width="12"/>
    <col collapsed="false" customWidth="true" hidden="false" outlineLevel="0" max="5" min="5" style="0" width="20"/>
    <col collapsed="false" customWidth="true" hidden="false" outlineLevel="0" max="6" min="6" style="0" width="17"/>
  </cols>
  <sheetData>
    <row r="1" customFormat="false" ht="15" hidden="false" customHeight="false" outlineLevel="0" collapsed="false">
      <c r="A1" s="7" t="s">
        <v>1</v>
      </c>
      <c r="B1" s="7" t="s">
        <v>136</v>
      </c>
      <c r="C1" s="7" t="s">
        <v>137</v>
      </c>
      <c r="D1" s="7" t="s">
        <v>138</v>
      </c>
      <c r="E1" s="7" t="s">
        <v>139</v>
      </c>
      <c r="F1" s="7" t="s">
        <v>140</v>
      </c>
    </row>
    <row r="2" customFormat="false" ht="15" hidden="false" customHeight="false" outlineLevel="0" collapsed="false">
      <c r="A2" s="8" t="s">
        <v>12</v>
      </c>
      <c r="B2" s="8" t="s">
        <v>141</v>
      </c>
      <c r="C2" s="8" t="s">
        <v>142</v>
      </c>
      <c r="D2" s="8" t="n">
        <f aca="false">SUMIFS('Source rows'!$F$2:$F$40,'Source rows'!$G$2:$G$40,$B2)</f>
        <v>0</v>
      </c>
      <c r="E2" s="8" t="str">
        <f aca="false">IF(D2=0,"never reported",_xlfn.MINIFS('Source rows'!$A$2:$A$40,'Source rows'!$G$2:$G$40,$B2,'Source rows'!$F$2:$F$40,"&gt;0"))</f>
        <v>never reported</v>
      </c>
      <c r="F2" s="8" t="s">
        <v>143</v>
      </c>
    </row>
    <row r="3" customFormat="false" ht="15" hidden="false" customHeight="false" outlineLevel="0" collapsed="false">
      <c r="A3" s="8" t="s">
        <v>12</v>
      </c>
      <c r="B3" s="8" t="s">
        <v>81</v>
      </c>
      <c r="C3" s="8" t="s">
        <v>82</v>
      </c>
      <c r="D3" s="8" t="n">
        <f aca="false">SUMIFS('Source rows'!$F$2:$F$40,'Source rows'!$G$2:$G$40,$B3)</f>
        <v>5</v>
      </c>
      <c r="E3" s="8" t="n">
        <f aca="false">IF(D3=0,"never reported",_xlfn.MINIFS('Source rows'!$A$2:$A$40,'Source rows'!$G$2:$G$40,$B3,'Source rows'!$F$2:$F$40,"&gt;0"))</f>
        <v>2024</v>
      </c>
      <c r="F3" s="8" t="s">
        <v>143</v>
      </c>
    </row>
    <row r="4" customFormat="false" ht="15" hidden="false" customHeight="false" outlineLevel="0" collapsed="false">
      <c r="A4" s="8" t="s">
        <v>12</v>
      </c>
      <c r="B4" s="8" t="s">
        <v>144</v>
      </c>
      <c r="C4" s="8" t="s">
        <v>145</v>
      </c>
      <c r="D4" s="8" t="n">
        <f aca="false">SUMIFS('Source rows'!$F$2:$F$40,'Source rows'!$G$2:$G$40,$B4)</f>
        <v>0</v>
      </c>
      <c r="E4" s="8" t="str">
        <f aca="false">IF(D4=0,"never reported",_xlfn.MINIFS('Source rows'!$A$2:$A$40,'Source rows'!$G$2:$G$40,$B4,'Source rows'!$F$2:$F$40,"&gt;0"))</f>
        <v>never reported</v>
      </c>
      <c r="F4" s="8" t="s">
        <v>143</v>
      </c>
    </row>
    <row r="5" customFormat="false" ht="15" hidden="false" customHeight="false" outlineLevel="0" collapsed="false">
      <c r="A5" s="8" t="s">
        <v>12</v>
      </c>
      <c r="B5" s="8" t="s">
        <v>15</v>
      </c>
      <c r="C5" s="8" t="s">
        <v>16</v>
      </c>
      <c r="D5" s="8" t="n">
        <f aca="false">SUMIFS('Source rows'!$F$2:$F$40,'Source rows'!$G$2:$G$40,$B5)</f>
        <v>13</v>
      </c>
      <c r="E5" s="8" t="n">
        <f aca="false">IF(D5=0,"never reported",_xlfn.MINIFS('Source rows'!$A$2:$A$40,'Source rows'!$G$2:$G$40,$B5,'Source rows'!$F$2:$F$40,"&gt;0"))</f>
        <v>2011</v>
      </c>
      <c r="F5" s="8" t="s">
        <v>143</v>
      </c>
    </row>
    <row r="6" customFormat="false" ht="15" hidden="false" customHeight="false" outlineLevel="0" collapsed="false">
      <c r="A6" s="8" t="s">
        <v>12</v>
      </c>
      <c r="B6" s="8" t="s">
        <v>146</v>
      </c>
      <c r="C6" s="8" t="s">
        <v>147</v>
      </c>
      <c r="D6" s="8" t="n">
        <f aca="false">SUMIFS('Source rows'!$F$2:$F$40,'Source rows'!$G$2:$G$40,$B6)</f>
        <v>0</v>
      </c>
      <c r="E6" s="8" t="str">
        <f aca="false">IF(D6=0,"never reported",_xlfn.MINIFS('Source rows'!$A$2:$A$40,'Source rows'!$G$2:$G$40,$B6,'Source rows'!$F$2:$F$40,"&gt;0"))</f>
        <v>never reported</v>
      </c>
      <c r="F6" s="8" t="s">
        <v>143</v>
      </c>
    </row>
    <row r="7" customFormat="false" ht="15" hidden="false" customHeight="false" outlineLevel="0" collapsed="false">
      <c r="A7" s="8" t="s">
        <v>12</v>
      </c>
      <c r="B7" s="8" t="s">
        <v>85</v>
      </c>
      <c r="C7" s="8" t="s">
        <v>83</v>
      </c>
      <c r="D7" s="8" t="n">
        <f aca="false">SUMIFS('Source rows'!$F$2:$F$40,'Source rows'!$G$2:$G$40,$B7)</f>
        <v>8</v>
      </c>
      <c r="E7" s="8" t="n">
        <f aca="false">IF(D7=0,"never reported",_xlfn.MINIFS('Source rows'!$A$2:$A$40,'Source rows'!$G$2:$G$40,$B7,'Source rows'!$F$2:$F$40,"&gt;0"))</f>
        <v>2024</v>
      </c>
      <c r="F7" s="8" t="s">
        <v>143</v>
      </c>
    </row>
    <row r="8" customFormat="false" ht="15" hidden="false" customHeight="false" outlineLevel="0" collapsed="false">
      <c r="A8" s="8" t="s">
        <v>12</v>
      </c>
      <c r="B8" s="8" t="s">
        <v>91</v>
      </c>
      <c r="C8" s="8" t="s">
        <v>92</v>
      </c>
      <c r="D8" s="8" t="n">
        <f aca="false">SUMIFS('Source rows'!$F$2:$F$40,'Source rows'!$G$2:$G$40,$B8)</f>
        <v>18</v>
      </c>
      <c r="E8" s="8" t="n">
        <f aca="false">IF(D8=0,"never reported",_xlfn.MINIFS('Source rows'!$A$2:$A$40,'Source rows'!$G$2:$G$40,$B8,'Source rows'!$F$2:$F$40,"&gt;0"))</f>
        <v>2024</v>
      </c>
      <c r="F8" s="8" t="s">
        <v>143</v>
      </c>
    </row>
    <row r="9" customFormat="false" ht="15" hidden="false" customHeight="false" outlineLevel="0" collapsed="false">
      <c r="A9" s="8" t="s">
        <v>12</v>
      </c>
      <c r="B9" s="8" t="s">
        <v>77</v>
      </c>
      <c r="C9" s="8" t="s">
        <v>75</v>
      </c>
      <c r="D9" s="8" t="n">
        <f aca="false">SUMIFS('Source rows'!$F$2:$F$40,'Source rows'!$G$2:$G$40,$B9)</f>
        <v>18</v>
      </c>
      <c r="E9" s="8" t="n">
        <f aca="false">IF(D9=0,"never reported",_xlfn.MINIFS('Source rows'!$A$2:$A$40,'Source rows'!$G$2:$G$40,$B9,'Source rows'!$F$2:$F$40,"&gt;0"))</f>
        <v>2024</v>
      </c>
      <c r="F9" s="8" t="s">
        <v>143</v>
      </c>
    </row>
    <row r="10" customFormat="false" ht="15" hidden="false" customHeight="false" outlineLevel="0" collapsed="false">
      <c r="A10" s="8" t="s">
        <v>12</v>
      </c>
      <c r="B10" s="8" t="s">
        <v>88</v>
      </c>
      <c r="C10" s="8" t="s">
        <v>86</v>
      </c>
      <c r="D10" s="8" t="n">
        <f aca="false">SUMIFS('Source rows'!$F$2:$F$40,'Source rows'!$G$2:$G$40,$B10)</f>
        <v>34</v>
      </c>
      <c r="E10" s="8" t="n">
        <f aca="false">IF(D10=0,"never reported",_xlfn.MINIFS('Source rows'!$A$2:$A$40,'Source rows'!$G$2:$G$40,$B10,'Source rows'!$F$2:$F$40,"&gt;0"))</f>
        <v>2024</v>
      </c>
      <c r="F10" s="8" t="s">
        <v>143</v>
      </c>
    </row>
    <row r="11" customFormat="false" ht="15" hidden="false" customHeight="false" outlineLevel="0" collapsed="false">
      <c r="A11" s="8" t="s">
        <v>12</v>
      </c>
      <c r="B11" s="8" t="s">
        <v>148</v>
      </c>
      <c r="C11" s="8" t="s">
        <v>149</v>
      </c>
      <c r="D11" s="8" t="n">
        <f aca="false">SUMIFS('Source rows'!$F$2:$F$40,'Source rows'!$G$2:$G$40,$B11)</f>
        <v>0</v>
      </c>
      <c r="E11" s="8" t="str">
        <f aca="false">IF(D11=0,"never reported",_xlfn.MINIFS('Source rows'!$A$2:$A$40,'Source rows'!$G$2:$G$40,$B11,'Source rows'!$F$2:$F$40,"&gt;0"))</f>
        <v>never reported</v>
      </c>
      <c r="F11" s="8" t="s">
        <v>143</v>
      </c>
    </row>
    <row r="12" customFormat="false" ht="15" hidden="false" customHeight="false" outlineLevel="0" collapsed="false">
      <c r="A12" s="8" t="s">
        <v>12</v>
      </c>
      <c r="B12" s="8" t="s">
        <v>113</v>
      </c>
      <c r="C12" s="8" t="s">
        <v>114</v>
      </c>
      <c r="D12" s="8" t="n">
        <f aca="false">SUMIFS('Source rows'!$F$2:$F$40,'Source rows'!$G$2:$G$40,$B12)</f>
        <v>1</v>
      </c>
      <c r="E12" s="8" t="n">
        <f aca="false">IF(D12=0,"never reported",_xlfn.MINIFS('Source rows'!$A$2:$A$40,'Source rows'!$G$2:$G$40,$B12,'Source rows'!$F$2:$F$40,"&gt;0"))</f>
        <v>2024</v>
      </c>
      <c r="F12" s="8" t="s">
        <v>143</v>
      </c>
    </row>
    <row r="13" customFormat="false" ht="15" hidden="false" customHeight="false" outlineLevel="0" collapsed="false">
      <c r="A13" s="8" t="s">
        <v>12</v>
      </c>
      <c r="B13" s="8" t="s">
        <v>120</v>
      </c>
      <c r="C13" s="8" t="s">
        <v>121</v>
      </c>
      <c r="D13" s="8" t="n">
        <f aca="false">SUMIFS('Source rows'!$F$2:$F$40,'Source rows'!$G$2:$G$40,$B13)</f>
        <v>11</v>
      </c>
      <c r="E13" s="8" t="n">
        <f aca="false">IF(D13=0,"never reported",_xlfn.MINIFS('Source rows'!$A$2:$A$40,'Source rows'!$G$2:$G$40,$B13,'Source rows'!$F$2:$F$40,"&gt;0"))</f>
        <v>2024</v>
      </c>
      <c r="F13" s="8" t="s">
        <v>143</v>
      </c>
    </row>
    <row r="14" customFormat="false" ht="15" hidden="false" customHeight="false" outlineLevel="0" collapsed="false">
      <c r="A14" s="8" t="s">
        <v>49</v>
      </c>
      <c r="B14" s="8" t="s">
        <v>51</v>
      </c>
      <c r="C14" s="8" t="s">
        <v>52</v>
      </c>
      <c r="D14" s="8" t="n">
        <f aca="false">SUMIFS('Source rows'!$F$2:$F$40,'Source rows'!$G$2:$G$40,$B14)</f>
        <v>5</v>
      </c>
      <c r="E14" s="8" t="n">
        <f aca="false">IF(D14=0,"never reported",_xlfn.MINIFS('Source rows'!$A$2:$A$40,'Source rows'!$G$2:$G$40,$B14,'Source rows'!$F$2:$F$40,"&gt;0"))</f>
        <v>2012</v>
      </c>
      <c r="F14" s="8" t="s">
        <v>143</v>
      </c>
    </row>
    <row r="15" customFormat="false" ht="15" hidden="false" customHeight="false" outlineLevel="0" collapsed="false">
      <c r="A15" s="8" t="s">
        <v>19</v>
      </c>
      <c r="B15" s="8" t="s">
        <v>150</v>
      </c>
      <c r="C15" s="8" t="s">
        <v>151</v>
      </c>
      <c r="D15" s="8" t="n">
        <f aca="false">SUMIFS('Source rows'!$F$2:$F$40,'Source rows'!$G$2:$G$40,$B15)</f>
        <v>0</v>
      </c>
      <c r="E15" s="8" t="str">
        <f aca="false">IF(D15=0,"never reported",_xlfn.MINIFS('Source rows'!$A$2:$A$40,'Source rows'!$G$2:$G$40,$B15,'Source rows'!$F$2:$F$40,"&gt;0"))</f>
        <v>never reported</v>
      </c>
      <c r="F15" s="8" t="s">
        <v>143</v>
      </c>
    </row>
    <row r="16" customFormat="false" ht="15" hidden="false" customHeight="false" outlineLevel="0" collapsed="false">
      <c r="A16" s="8" t="s">
        <v>19</v>
      </c>
      <c r="B16" s="8" t="s">
        <v>56</v>
      </c>
      <c r="C16" s="8" t="s">
        <v>57</v>
      </c>
      <c r="D16" s="8" t="n">
        <f aca="false">SUMIFS('Source rows'!$F$2:$F$40,'Source rows'!$G$2:$G$40,$B16)</f>
        <v>1</v>
      </c>
      <c r="E16" s="8" t="n">
        <f aca="false">IF(D16=0,"never reported",_xlfn.MINIFS('Source rows'!$A$2:$A$40,'Source rows'!$G$2:$G$40,$B16,'Source rows'!$F$2:$F$40,"&gt;0"))</f>
        <v>2013</v>
      </c>
      <c r="F16" s="8" t="s">
        <v>143</v>
      </c>
    </row>
    <row r="17" customFormat="false" ht="15" hidden="false" customHeight="false" outlineLevel="0" collapsed="false">
      <c r="A17" s="8" t="s">
        <v>19</v>
      </c>
      <c r="B17" s="8" t="s">
        <v>34</v>
      </c>
      <c r="C17" s="8" t="s">
        <v>35</v>
      </c>
      <c r="D17" s="8" t="n">
        <f aca="false">SUMIFS('Source rows'!$F$2:$F$40,'Source rows'!$G$2:$G$40,$B17)</f>
        <v>2</v>
      </c>
      <c r="E17" s="8" t="n">
        <f aca="false">IF(D17=0,"never reported",_xlfn.MINIFS('Source rows'!$A$2:$A$40,'Source rows'!$G$2:$G$40,$B17,'Source rows'!$F$2:$F$40,"&gt;0"))</f>
        <v>2012</v>
      </c>
      <c r="F17" s="8" t="s">
        <v>143</v>
      </c>
    </row>
    <row r="18" customFormat="false" ht="15" hidden="false" customHeight="false" outlineLevel="0" collapsed="false">
      <c r="A18" s="8" t="s">
        <v>19</v>
      </c>
      <c r="B18" s="8" t="s">
        <v>70</v>
      </c>
      <c r="C18" s="8" t="s">
        <v>71</v>
      </c>
      <c r="D18" s="8" t="n">
        <f aca="false">SUMIFS('Source rows'!$F$2:$F$40,'Source rows'!$G$2:$G$40,$B18)</f>
        <v>1</v>
      </c>
      <c r="E18" s="8" t="n">
        <f aca="false">IF(D18=0,"never reported",_xlfn.MINIFS('Source rows'!$A$2:$A$40,'Source rows'!$G$2:$G$40,$B18,'Source rows'!$F$2:$F$40,"&gt;0"))</f>
        <v>2024</v>
      </c>
      <c r="F18" s="8" t="s">
        <v>143</v>
      </c>
    </row>
    <row r="19" customFormat="false" ht="15" hidden="false" customHeight="false" outlineLevel="0" collapsed="false">
      <c r="A19" s="8" t="s">
        <v>19</v>
      </c>
      <c r="B19" s="8" t="s">
        <v>25</v>
      </c>
      <c r="C19" s="8" t="s">
        <v>26</v>
      </c>
      <c r="D19" s="8" t="n">
        <f aca="false">SUMIFS('Source rows'!$F$2:$F$40,'Source rows'!$G$2:$G$40,$B19)</f>
        <v>1</v>
      </c>
      <c r="E19" s="8" t="n">
        <f aca="false">IF(D19=0,"never reported",_xlfn.MINIFS('Source rows'!$A$2:$A$40,'Source rows'!$G$2:$G$40,$B19,'Source rows'!$F$2:$F$40,"&gt;0"))</f>
        <v>2012</v>
      </c>
      <c r="F19" s="8" t="s">
        <v>143</v>
      </c>
    </row>
    <row r="20" customFormat="false" ht="15" hidden="false" customHeight="false" outlineLevel="0" collapsed="false">
      <c r="A20" s="8" t="s">
        <v>19</v>
      </c>
      <c r="B20" s="8" t="s">
        <v>73</v>
      </c>
      <c r="C20" s="8" t="s">
        <v>74</v>
      </c>
      <c r="D20" s="8" t="n">
        <f aca="false">SUMIFS('Source rows'!$F$2:$F$40,'Source rows'!$G$2:$G$40,$B20)</f>
        <v>1</v>
      </c>
      <c r="E20" s="8" t="n">
        <f aca="false">IF(D20=0,"never reported",_xlfn.MINIFS('Source rows'!$A$2:$A$40,'Source rows'!$G$2:$G$40,$B20,'Source rows'!$F$2:$F$40,"&gt;0"))</f>
        <v>2024</v>
      </c>
      <c r="F20" s="8" t="s">
        <v>143</v>
      </c>
    </row>
    <row r="21" customFormat="false" ht="15" hidden="false" customHeight="false" outlineLevel="0" collapsed="false">
      <c r="A21" s="8" t="s">
        <v>19</v>
      </c>
      <c r="B21" s="8" t="s">
        <v>30</v>
      </c>
      <c r="C21" s="8" t="s">
        <v>31</v>
      </c>
      <c r="D21" s="8" t="n">
        <f aca="false">SUMIFS('Source rows'!$F$2:$F$40,'Source rows'!$G$2:$G$40,$B21)</f>
        <v>1</v>
      </c>
      <c r="E21" s="8" t="n">
        <f aca="false">IF(D21=0,"never reported",_xlfn.MINIFS('Source rows'!$A$2:$A$40,'Source rows'!$G$2:$G$40,$B21,'Source rows'!$F$2:$F$40,"&gt;0"))</f>
        <v>2012</v>
      </c>
      <c r="F21" s="8" t="s">
        <v>143</v>
      </c>
    </row>
    <row r="22" customFormat="false" ht="15" hidden="false" customHeight="false" outlineLevel="0" collapsed="false">
      <c r="A22" s="8" t="s">
        <v>19</v>
      </c>
      <c r="B22" s="8" t="s">
        <v>21</v>
      </c>
      <c r="C22" s="8" t="s">
        <v>22</v>
      </c>
      <c r="D22" s="8" t="n">
        <f aca="false">SUMIFS('Source rows'!$F$2:$F$40,'Source rows'!$G$2:$G$40,$B22)</f>
        <v>12</v>
      </c>
      <c r="E22" s="8" t="n">
        <f aca="false">IF(D22=0,"never reported",_xlfn.MINIFS('Source rows'!$A$2:$A$40,'Source rows'!$G$2:$G$40,$B22,'Source rows'!$F$2:$F$40,"&gt;0"))</f>
        <v>2011</v>
      </c>
      <c r="F22" s="8" t="s">
        <v>143</v>
      </c>
    </row>
    <row r="23" customFormat="false" ht="15" hidden="false" customHeight="false" outlineLevel="0" collapsed="false">
      <c r="A23" s="8" t="s">
        <v>37</v>
      </c>
      <c r="B23" s="8" t="s">
        <v>39</v>
      </c>
      <c r="C23" s="8" t="s">
        <v>40</v>
      </c>
      <c r="D23" s="8" t="n">
        <f aca="false">SUMIFS('Source rows'!$F$2:$F$40,'Source rows'!$G$2:$G$40,$B23)</f>
        <v>18</v>
      </c>
      <c r="E23" s="8" t="n">
        <f aca="false">IF(D23=0,"never reported",_xlfn.MINIFS('Source rows'!$A$2:$A$40,'Source rows'!$G$2:$G$40,$B23,'Source rows'!$F$2:$F$40,"&gt;0"))</f>
        <v>2012</v>
      </c>
      <c r="F23" s="8" t="s">
        <v>143</v>
      </c>
    </row>
    <row r="24" customFormat="false" ht="15" hidden="false" customHeight="false" outlineLevel="0" collapsed="false">
      <c r="A24" s="8" t="s">
        <v>37</v>
      </c>
      <c r="B24" s="8" t="s">
        <v>68</v>
      </c>
      <c r="C24" s="8" t="s">
        <v>67</v>
      </c>
      <c r="D24" s="8" t="n">
        <f aca="false">SUMIFS('Source rows'!$F$2:$F$40,'Source rows'!$G$2:$G$40,$B24)</f>
        <v>1</v>
      </c>
      <c r="E24" s="8" t="n">
        <f aca="false">IF(D24=0,"never reported",_xlfn.MINIFS('Source rows'!$A$2:$A$40,'Source rows'!$G$2:$G$40,$B24,'Source rows'!$F$2:$F$40,"&gt;0"))</f>
        <v>2024</v>
      </c>
      <c r="F24" s="8" t="s">
        <v>143</v>
      </c>
    </row>
    <row r="25" customFormat="false" ht="15" hidden="false" customHeight="false" outlineLevel="0" collapsed="false">
      <c r="A25" s="8" t="s">
        <v>37</v>
      </c>
      <c r="B25" s="8" t="s">
        <v>152</v>
      </c>
      <c r="C25" s="8" t="s">
        <v>153</v>
      </c>
      <c r="D25" s="8" t="n">
        <f aca="false">SUMIFS('Source rows'!$F$2:$F$40,'Source rows'!$G$2:$G$40,$B25)</f>
        <v>0</v>
      </c>
      <c r="E25" s="8" t="str">
        <f aca="false">IF(D25=0,"never reported",_xlfn.MINIFS('Source rows'!$A$2:$A$40,'Source rows'!$G$2:$G$40,$B25,'Source rows'!$F$2:$F$40,"&gt;0"))</f>
        <v>never reported</v>
      </c>
      <c r="F25" s="8" t="s">
        <v>143</v>
      </c>
    </row>
    <row r="26" customFormat="false" ht="15" hidden="false" customHeight="false" outlineLevel="0" collapsed="false">
      <c r="A26" s="8" t="s">
        <v>37</v>
      </c>
      <c r="B26" s="8" t="s">
        <v>47</v>
      </c>
      <c r="C26" s="8" t="s">
        <v>48</v>
      </c>
      <c r="D26" s="8" t="n">
        <f aca="false">SUMIFS('Source rows'!$F$2:$F$40,'Source rows'!$G$2:$G$40,$B26)</f>
        <v>2</v>
      </c>
      <c r="E26" s="8" t="n">
        <f aca="false">IF(D26=0,"never reported",_xlfn.MINIFS('Source rows'!$A$2:$A$40,'Source rows'!$G$2:$G$40,$B26,'Source rows'!$F$2:$F$40,"&gt;0"))</f>
        <v>2012</v>
      </c>
      <c r="F26" s="8" t="s">
        <v>143</v>
      </c>
    </row>
    <row r="27" customFormat="false" ht="15" hidden="false" customHeight="false" outlineLevel="0" collapsed="false">
      <c r="A27" s="8" t="s">
        <v>37</v>
      </c>
      <c r="B27" s="8" t="s">
        <v>154</v>
      </c>
      <c r="C27" s="8" t="s">
        <v>155</v>
      </c>
      <c r="D27" s="8" t="n">
        <f aca="false">SUMIFS('Source rows'!$F$2:$F$40,'Source rows'!$G$2:$G$40,$B27)</f>
        <v>0</v>
      </c>
      <c r="E27" s="8" t="str">
        <f aca="false">IF(D27=0,"never reported",_xlfn.MINIFS('Source rows'!$A$2:$A$40,'Source rows'!$G$2:$G$40,$B27,'Source rows'!$F$2:$F$40,"&gt;0"))</f>
        <v>never reported</v>
      </c>
      <c r="F27" s="8" t="s">
        <v>143</v>
      </c>
    </row>
    <row r="28" customFormat="false" ht="15" hidden="false" customHeight="false" outlineLevel="0" collapsed="false">
      <c r="A28" s="8" t="s">
        <v>37</v>
      </c>
      <c r="B28" s="8" t="s">
        <v>42</v>
      </c>
      <c r="C28" s="8" t="s">
        <v>43</v>
      </c>
      <c r="D28" s="8" t="n">
        <f aca="false">SUMIFS('Source rows'!$F$2:$F$40,'Source rows'!$G$2:$G$40,$B28)</f>
        <v>1</v>
      </c>
      <c r="E28" s="8" t="n">
        <f aca="false">IF(D28=0,"never reported",_xlfn.MINIFS('Source rows'!$A$2:$A$40,'Source rows'!$G$2:$G$40,$B28,'Source rows'!$F$2:$F$40,"&gt;0"))</f>
        <v>2012</v>
      </c>
      <c r="F28" s="8" t="s">
        <v>143</v>
      </c>
    </row>
    <row r="29" customFormat="false" ht="15" hidden="false" customHeight="false" outlineLevel="0" collapsed="false">
      <c r="A29" s="8" t="s">
        <v>37</v>
      </c>
      <c r="B29" s="8" t="s">
        <v>156</v>
      </c>
      <c r="C29" s="8" t="s">
        <v>157</v>
      </c>
      <c r="D29" s="8" t="n">
        <f aca="false">SUMIFS('Source rows'!$F$2:$F$40,'Source rows'!$G$2:$G$40,$B29)</f>
        <v>0</v>
      </c>
      <c r="E29" s="8" t="str">
        <f aca="false">IF(D29=0,"never reported",_xlfn.MINIFS('Source rows'!$A$2:$A$40,'Source rows'!$G$2:$G$40,$B29,'Source rows'!$F$2:$F$40,"&gt;0"))</f>
        <v>never reported</v>
      </c>
      <c r="F29" s="8" t="s">
        <v>143</v>
      </c>
    </row>
    <row r="31" customFormat="false" ht="15" hidden="false" customHeight="false" outlineLevel="0" collapsed="false">
      <c r="A31" s="6" t="s">
        <v>158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2026-09-08T17:59:06Z</dcterms:created>
  <dc:creator>openpyxl</dc:creator>
  <dc:description/>
  <dc:language>en-US</dc:language>
  <cp:lastModifiedBy/>
  <dcterms:modified xsi:type="dcterms:W3CDTF">2026-09-08T17:59:06Z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